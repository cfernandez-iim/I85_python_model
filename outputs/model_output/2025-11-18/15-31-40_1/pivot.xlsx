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85\python model\outputs\model_output\2025-11-18\15-31-40_1\"/>
    </mc:Choice>
  </mc:AlternateContent>
  <xr:revisionPtr revIDLastSave="0" documentId="13_ncr:1_{8D786132-E3CF-4C62-87D2-D72EFE790048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7" i="1" l="1"/>
  <c r="E57" i="1"/>
  <c r="F57" i="1"/>
  <c r="G57" i="1"/>
  <c r="H57" i="1"/>
  <c r="I57" i="1"/>
  <c r="J57" i="1"/>
  <c r="K57" i="1"/>
  <c r="L57" i="1"/>
  <c r="M57" i="1"/>
  <c r="N57" i="1"/>
  <c r="O57" i="1"/>
  <c r="P57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C58" i="1"/>
  <c r="C57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C56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C55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C54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C52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C53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C51" i="1"/>
</calcChain>
</file>

<file path=xl/sharedStrings.xml><?xml version="1.0" encoding="utf-8"?>
<sst xmlns="http://schemas.openxmlformats.org/spreadsheetml/2006/main" count="1655" uniqueCount="54">
  <si>
    <t>Lenght</t>
  </si>
  <si>
    <t>1</t>
  </si>
  <si>
    <t>2</t>
  </si>
  <si>
    <t>3</t>
  </si>
  <si>
    <t>4</t>
  </si>
  <si>
    <t>5</t>
  </si>
  <si>
    <t>6</t>
  </si>
  <si>
    <t>7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</si>
  <si>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</si>
  <si>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</si>
  <si>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</si>
  <si>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</si>
  <si>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</si>
  <si>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</si>
  <si>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</si>
  <si>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</si>
  <si>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</si>
  <si>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</si>
  <si>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</si>
  <si>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</si>
  <si>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</si>
  <si>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</si>
  <si>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</si>
  <si>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</si>
  <si>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</si>
  <si>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</si>
  <si>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</si>
  <si>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</si>
  <si>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</si>
  <si>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</si>
  <si>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</si>
  <si>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</si>
  <si>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</si>
  <si>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</si>
  <si>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</si>
  <si>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</si>
  <si>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nominal</t>
  </si>
  <si>
    <t>Highway Vol / GP Capacity</t>
  </si>
  <si>
    <t>Revenue Per Period Medium A</t>
  </si>
  <si>
    <t>ML Speed</t>
  </si>
  <si>
    <t>GP V/C real</t>
  </si>
  <si>
    <t>Time Saving</t>
  </si>
  <si>
    <t>Revenue Per Period Medium B</t>
  </si>
  <si>
    <t>ML time</t>
  </si>
  <si>
    <t>GP Speed</t>
  </si>
  <si>
    <t>Difference in travel time</t>
  </si>
  <si>
    <t>ML light veh.Miles</t>
  </si>
  <si>
    <t>GP Time</t>
  </si>
  <si>
    <t>LVr Toll</t>
  </si>
  <si>
    <t>ML light veh/period</t>
  </si>
  <si>
    <t>Medium A Toll</t>
  </si>
  <si>
    <t>ML medium A veh.Miles</t>
  </si>
  <si>
    <t>Implied VOT</t>
  </si>
  <si>
    <t>ML medium A veh/period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</si>
</sst>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  <xf numFmtId="164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N142"/>
  <sheetViews>
    <sheetView tabSelected="1" topLeftCell="AE45" workbookViewId="0">
      <selection activeCell="AU80" sqref="AU80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3</v>
      </c>
      <c r="D3">
        <v>2.2000000000000002</v>
      </c>
      <c r="E3">
        <v>3.4</v>
      </c>
      <c r="F3">
        <v>4.4000000000000004</v>
      </c>
      <c r="G3">
        <v>3</v>
      </c>
      <c r="H3">
        <v>4.4000000000000004</v>
      </c>
      <c r="I3">
        <v>5.6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0.17</v>
      </c>
      <c r="D9" s="2">
        <v>0.17</v>
      </c>
      <c r="E9" s="2">
        <v>0.17</v>
      </c>
      <c r="F9" s="2">
        <v>0.17</v>
      </c>
      <c r="G9" s="2">
        <v>0.17</v>
      </c>
      <c r="H9" s="2">
        <v>0.17</v>
      </c>
      <c r="I9" s="2">
        <v>0.17</v>
      </c>
      <c r="J9" s="2">
        <v>0.17</v>
      </c>
      <c r="K9" s="2">
        <v>0.14000000000000001</v>
      </c>
      <c r="L9" s="2">
        <v>0.14000000000000001</v>
      </c>
      <c r="M9" s="2">
        <v>0.14000000000000001</v>
      </c>
      <c r="N9" s="2">
        <v>0.14000000000000001</v>
      </c>
      <c r="O9" s="2">
        <v>0.13</v>
      </c>
      <c r="P9" s="2">
        <v>0.13</v>
      </c>
      <c r="R9" s="1" t="s">
        <v>18</v>
      </c>
      <c r="S9" s="2">
        <v>7736.12</v>
      </c>
      <c r="T9" s="2">
        <v>7551.54</v>
      </c>
      <c r="U9" s="2">
        <v>8557.58</v>
      </c>
      <c r="V9" s="2">
        <v>8734.0300000000007</v>
      </c>
      <c r="W9" s="2">
        <v>13757.02</v>
      </c>
      <c r="X9" s="2">
        <v>14036.68</v>
      </c>
      <c r="Y9" s="2">
        <v>16427.650000000001</v>
      </c>
      <c r="Z9" s="2">
        <v>16766.86</v>
      </c>
      <c r="AA9" s="2">
        <v>8856.39</v>
      </c>
      <c r="AB9" s="2">
        <v>9074.09</v>
      </c>
      <c r="AC9" s="2">
        <v>12671.69</v>
      </c>
      <c r="AD9" s="2">
        <v>13003.02</v>
      </c>
      <c r="AE9" s="2">
        <v>9255.81</v>
      </c>
      <c r="AF9" s="2">
        <v>11531.2</v>
      </c>
      <c r="AI9" s="1" t="s">
        <v>18</v>
      </c>
      <c r="AJ9" s="2">
        <v>51577.48</v>
      </c>
      <c r="AK9" s="2">
        <v>50343.66</v>
      </c>
      <c r="AL9" s="2">
        <v>57051.7</v>
      </c>
      <c r="AM9" s="2">
        <v>58227.99</v>
      </c>
      <c r="AN9" s="2">
        <v>91713.7</v>
      </c>
      <c r="AO9" s="2">
        <v>93577.94</v>
      </c>
      <c r="AP9" s="2">
        <v>109517.95</v>
      </c>
      <c r="AQ9" s="2">
        <v>111780.72</v>
      </c>
      <c r="AR9" s="2">
        <v>39365.85</v>
      </c>
      <c r="AS9" s="2">
        <v>40329.910000000003</v>
      </c>
      <c r="AT9" s="2">
        <v>56318.9</v>
      </c>
      <c r="AU9" s="2">
        <v>57791.92</v>
      </c>
      <c r="AV9" s="2">
        <v>30873.34</v>
      </c>
      <c r="AW9" s="2">
        <v>38442.31</v>
      </c>
      <c r="AZ9" s="1" t="s">
        <v>18</v>
      </c>
      <c r="BA9" s="2">
        <v>59313.599999999999</v>
      </c>
      <c r="BB9" s="2">
        <v>57895.199999999997</v>
      </c>
      <c r="BC9" s="2">
        <v>65609.279999999999</v>
      </c>
      <c r="BD9" s="2">
        <v>66962.02</v>
      </c>
      <c r="BE9" s="2">
        <v>105470.72</v>
      </c>
      <c r="BF9" s="2">
        <v>107614.62</v>
      </c>
      <c r="BG9" s="2">
        <v>125945.60000000001</v>
      </c>
      <c r="BH9" s="2">
        <v>128547.58</v>
      </c>
      <c r="BI9" s="2">
        <v>48222.239999999998</v>
      </c>
      <c r="BJ9" s="2">
        <v>49404</v>
      </c>
      <c r="BK9" s="2">
        <v>68990.59</v>
      </c>
      <c r="BL9" s="2">
        <v>70794.94</v>
      </c>
      <c r="BM9" s="2">
        <v>40129.15</v>
      </c>
      <c r="BN9" s="2">
        <v>49973.5</v>
      </c>
    </row>
    <row r="10" spans="2:66" x14ac:dyDescent="0.3">
      <c r="B10" s="1" t="s">
        <v>19</v>
      </c>
      <c r="C10" s="2">
        <v>0.18</v>
      </c>
      <c r="D10" s="2">
        <v>0.89</v>
      </c>
      <c r="E10" s="2">
        <v>0.36</v>
      </c>
      <c r="F10" s="2">
        <v>3.66</v>
      </c>
      <c r="G10" s="2">
        <v>0.41</v>
      </c>
      <c r="H10" s="2">
        <v>3.66</v>
      </c>
      <c r="I10" s="2">
        <v>0.31</v>
      </c>
      <c r="J10" s="2">
        <v>1.83</v>
      </c>
      <c r="K10" s="2">
        <v>0.31</v>
      </c>
      <c r="L10" s="2">
        <v>0.66</v>
      </c>
      <c r="M10" s="2">
        <v>0.28999999999999998</v>
      </c>
      <c r="N10" s="2">
        <v>0.59</v>
      </c>
      <c r="O10" s="2">
        <v>0.14000000000000001</v>
      </c>
      <c r="P10" s="2">
        <v>0.44</v>
      </c>
      <c r="R10" s="1" t="s">
        <v>19</v>
      </c>
      <c r="S10" s="2">
        <v>1832.97</v>
      </c>
      <c r="T10" s="2">
        <v>2217.63</v>
      </c>
      <c r="U10" s="2">
        <v>1527.85</v>
      </c>
      <c r="V10" s="2">
        <v>1939.2</v>
      </c>
      <c r="W10" s="2">
        <v>2371.96</v>
      </c>
      <c r="X10" s="2">
        <v>3729.71</v>
      </c>
      <c r="Y10" s="2">
        <v>3046.67</v>
      </c>
      <c r="Z10" s="2">
        <v>5112.17</v>
      </c>
      <c r="AA10" s="2">
        <v>1985.05</v>
      </c>
      <c r="AB10" s="2">
        <v>1966.81</v>
      </c>
      <c r="AC10" s="2">
        <v>2925.28</v>
      </c>
      <c r="AD10" s="2">
        <v>2875.55</v>
      </c>
      <c r="AE10" s="2">
        <v>2369.79</v>
      </c>
      <c r="AF10" s="2">
        <v>3212.26</v>
      </c>
      <c r="AI10" s="1" t="s">
        <v>19</v>
      </c>
      <c r="AJ10" s="2">
        <v>12221.01</v>
      </c>
      <c r="AK10" s="2">
        <v>27584.13</v>
      </c>
      <c r="AL10" s="2">
        <v>16040.87</v>
      </c>
      <c r="AM10" s="2">
        <v>26393.06</v>
      </c>
      <c r="AN10" s="2">
        <v>25865.18</v>
      </c>
      <c r="AO10" s="2">
        <v>41815.61</v>
      </c>
      <c r="AP10" s="2">
        <v>30677.13</v>
      </c>
      <c r="AQ10" s="2">
        <v>49284.76</v>
      </c>
      <c r="AR10" s="2">
        <v>14484.05</v>
      </c>
      <c r="AS10" s="2">
        <v>17553.11</v>
      </c>
      <c r="AT10" s="2">
        <v>20670.25</v>
      </c>
      <c r="AU10" s="2">
        <v>25081.61</v>
      </c>
      <c r="AV10" s="2">
        <v>7899.82</v>
      </c>
      <c r="AW10" s="2">
        <v>22563.65</v>
      </c>
      <c r="AZ10" s="1" t="s">
        <v>19</v>
      </c>
      <c r="BA10" s="2">
        <v>14053.98</v>
      </c>
      <c r="BB10" s="2">
        <v>29801.759999999998</v>
      </c>
      <c r="BC10" s="2">
        <v>17568.72</v>
      </c>
      <c r="BD10" s="2">
        <v>28332.26</v>
      </c>
      <c r="BE10" s="2">
        <v>28237.14</v>
      </c>
      <c r="BF10" s="2">
        <v>45545.31</v>
      </c>
      <c r="BG10" s="2">
        <v>33723.800000000003</v>
      </c>
      <c r="BH10" s="2">
        <v>54396.94</v>
      </c>
      <c r="BI10" s="2">
        <v>16469.099999999999</v>
      </c>
      <c r="BJ10" s="2">
        <v>19519.919999999998</v>
      </c>
      <c r="BK10" s="2">
        <v>23595.53</v>
      </c>
      <c r="BL10" s="2">
        <v>27957.16</v>
      </c>
      <c r="BM10" s="2">
        <v>10269.620000000001</v>
      </c>
      <c r="BN10" s="2">
        <v>25775.9</v>
      </c>
    </row>
    <row r="11" spans="2:66" x14ac:dyDescent="0.3">
      <c r="B11" s="1" t="s">
        <v>20</v>
      </c>
      <c r="C11" s="2">
        <v>0.22</v>
      </c>
      <c r="D11" s="2">
        <v>1.37</v>
      </c>
      <c r="E11" s="2">
        <v>0.72</v>
      </c>
      <c r="F11" s="2">
        <v>1.83</v>
      </c>
      <c r="G11" s="2">
        <v>0.87</v>
      </c>
      <c r="H11" s="2">
        <v>1.83</v>
      </c>
      <c r="I11" s="2">
        <v>0.6</v>
      </c>
      <c r="J11" s="2">
        <v>1.71</v>
      </c>
      <c r="K11" s="2">
        <v>0.45</v>
      </c>
      <c r="L11" s="2">
        <v>0.2</v>
      </c>
      <c r="M11" s="2">
        <v>0.41</v>
      </c>
      <c r="N11" s="2">
        <v>0.19</v>
      </c>
      <c r="O11" s="2">
        <v>0.14000000000000001</v>
      </c>
      <c r="P11" s="2">
        <v>0.43</v>
      </c>
      <c r="R11" s="1" t="s">
        <v>20</v>
      </c>
      <c r="S11" s="2">
        <v>4173.24</v>
      </c>
      <c r="T11" s="2">
        <v>4648.92</v>
      </c>
      <c r="U11" s="2">
        <v>3191.04</v>
      </c>
      <c r="V11" s="2">
        <v>4150.95</v>
      </c>
      <c r="W11" s="2">
        <v>5014.82</v>
      </c>
      <c r="X11" s="2">
        <v>7548.25</v>
      </c>
      <c r="Y11" s="2">
        <v>6278.29</v>
      </c>
      <c r="Z11" s="2">
        <v>6984.69</v>
      </c>
      <c r="AA11" s="2">
        <v>3921</v>
      </c>
      <c r="AB11" s="2">
        <v>4106</v>
      </c>
      <c r="AC11" s="2">
        <v>5760.4</v>
      </c>
      <c r="AD11" s="2">
        <v>6049.94</v>
      </c>
      <c r="AE11" s="2">
        <v>5949.56</v>
      </c>
      <c r="AF11" s="2">
        <v>6434.04</v>
      </c>
      <c r="AI11" s="1" t="s">
        <v>20</v>
      </c>
      <c r="AJ11" s="2">
        <v>35174.160000000003</v>
      </c>
      <c r="AK11" s="2">
        <v>60133.919999999998</v>
      </c>
      <c r="AL11" s="2">
        <v>38675.57</v>
      </c>
      <c r="AM11" s="2">
        <v>47432.19</v>
      </c>
      <c r="AN11" s="2">
        <v>62260.98</v>
      </c>
      <c r="AO11" s="2">
        <v>75360.75</v>
      </c>
      <c r="AP11" s="2">
        <v>74107.59</v>
      </c>
      <c r="AQ11" s="2">
        <v>92053.85</v>
      </c>
      <c r="AR11" s="2">
        <v>32162.639999999999</v>
      </c>
      <c r="AS11" s="2">
        <v>24102.28</v>
      </c>
      <c r="AT11" s="2">
        <v>45913.55</v>
      </c>
      <c r="AU11" s="2">
        <v>34351.040000000001</v>
      </c>
      <c r="AV11" s="2">
        <v>19832.169999999998</v>
      </c>
      <c r="AW11" s="2">
        <v>44974.41</v>
      </c>
      <c r="AZ11" s="1" t="s">
        <v>20</v>
      </c>
      <c r="BA11" s="2">
        <v>39347.4</v>
      </c>
      <c r="BB11" s="2">
        <v>64782.84</v>
      </c>
      <c r="BC11" s="2">
        <v>41866.620000000003</v>
      </c>
      <c r="BD11" s="2">
        <v>51583.14</v>
      </c>
      <c r="BE11" s="2">
        <v>67275.8</v>
      </c>
      <c r="BF11" s="2">
        <v>82909</v>
      </c>
      <c r="BG11" s="2">
        <v>80385.89</v>
      </c>
      <c r="BH11" s="2">
        <v>99038.54</v>
      </c>
      <c r="BI11" s="2">
        <v>36083.64</v>
      </c>
      <c r="BJ11" s="2">
        <v>28208.28</v>
      </c>
      <c r="BK11" s="2">
        <v>51673.95</v>
      </c>
      <c r="BL11" s="2">
        <v>40400.980000000003</v>
      </c>
      <c r="BM11" s="2">
        <v>25781.73</v>
      </c>
      <c r="BN11" s="2">
        <v>51408.45</v>
      </c>
    </row>
    <row r="12" spans="2:66" x14ac:dyDescent="0.3">
      <c r="B12" s="1" t="s">
        <v>21</v>
      </c>
      <c r="C12" s="2">
        <v>0.18</v>
      </c>
      <c r="D12" s="2">
        <v>0.65</v>
      </c>
      <c r="E12" s="2">
        <v>0.59</v>
      </c>
      <c r="F12" s="2">
        <v>1.83</v>
      </c>
      <c r="G12" s="2">
        <v>0.7</v>
      </c>
      <c r="H12" s="2">
        <v>1.83</v>
      </c>
      <c r="I12" s="2">
        <v>0.49</v>
      </c>
      <c r="J12" s="2">
        <v>1.49</v>
      </c>
      <c r="K12" s="2">
        <v>0.38</v>
      </c>
      <c r="L12" s="2">
        <v>0.25</v>
      </c>
      <c r="M12" s="2">
        <v>0.34</v>
      </c>
      <c r="N12" s="2">
        <v>0.23</v>
      </c>
      <c r="O12" s="2">
        <v>0.13</v>
      </c>
      <c r="P12" s="2">
        <v>0.21</v>
      </c>
      <c r="R12" s="1" t="s">
        <v>21</v>
      </c>
      <c r="S12" s="2">
        <v>2112.04</v>
      </c>
      <c r="T12" s="2">
        <v>2156.0300000000002</v>
      </c>
      <c r="U12" s="2">
        <v>1568.84</v>
      </c>
      <c r="V12" s="2">
        <v>1804.71</v>
      </c>
      <c r="W12" s="2">
        <v>2457.85</v>
      </c>
      <c r="X12" s="2">
        <v>3414.37</v>
      </c>
      <c r="Y12" s="2">
        <v>3099</v>
      </c>
      <c r="Z12" s="2">
        <v>3435.86</v>
      </c>
      <c r="AA12" s="2">
        <v>1968.78</v>
      </c>
      <c r="AB12" s="2">
        <v>2014.98</v>
      </c>
      <c r="AC12" s="2">
        <v>2897.74</v>
      </c>
      <c r="AD12" s="2">
        <v>2970.97</v>
      </c>
      <c r="AE12" s="2">
        <v>3578.27</v>
      </c>
      <c r="AF12" s="2">
        <v>3619.71</v>
      </c>
      <c r="AI12" s="1" t="s">
        <v>21</v>
      </c>
      <c r="AJ12" s="2">
        <v>14635.04</v>
      </c>
      <c r="AK12" s="2">
        <v>25771.51</v>
      </c>
      <c r="AL12" s="2">
        <v>18438.71</v>
      </c>
      <c r="AM12" s="2">
        <v>23340.81</v>
      </c>
      <c r="AN12" s="2">
        <v>29699.14</v>
      </c>
      <c r="AO12" s="2">
        <v>37001.5</v>
      </c>
      <c r="AP12" s="2">
        <v>35316.26</v>
      </c>
      <c r="AQ12" s="2">
        <v>44843.32</v>
      </c>
      <c r="AR12" s="2">
        <v>15316.26</v>
      </c>
      <c r="AS12" s="2">
        <v>13357.44</v>
      </c>
      <c r="AT12" s="2">
        <v>21859.74</v>
      </c>
      <c r="AU12" s="2">
        <v>19046.28</v>
      </c>
      <c r="AV12" s="2">
        <v>11928.02</v>
      </c>
      <c r="AW12" s="2">
        <v>17736.12</v>
      </c>
      <c r="AZ12" s="1" t="s">
        <v>21</v>
      </c>
      <c r="BA12" s="2">
        <v>16747.080000000002</v>
      </c>
      <c r="BB12" s="2">
        <v>27927.54</v>
      </c>
      <c r="BC12" s="2">
        <v>20007.55</v>
      </c>
      <c r="BD12" s="2">
        <v>25145.52</v>
      </c>
      <c r="BE12" s="2">
        <v>32157</v>
      </c>
      <c r="BF12" s="2">
        <v>40415.870000000003</v>
      </c>
      <c r="BG12" s="2">
        <v>38415.26</v>
      </c>
      <c r="BH12" s="2">
        <v>48279.18</v>
      </c>
      <c r="BI12" s="2">
        <v>17285.04</v>
      </c>
      <c r="BJ12" s="2">
        <v>15372.42</v>
      </c>
      <c r="BK12" s="2">
        <v>24757.48</v>
      </c>
      <c r="BL12" s="2">
        <v>22017.25</v>
      </c>
      <c r="BM12" s="2">
        <v>15506.29</v>
      </c>
      <c r="BN12" s="2">
        <v>21355.82</v>
      </c>
    </row>
    <row r="13" spans="2:66" x14ac:dyDescent="0.3">
      <c r="B13" s="1" t="s">
        <v>22</v>
      </c>
      <c r="C13" s="2">
        <v>0.3</v>
      </c>
      <c r="D13" s="2">
        <v>0.28999999999999998</v>
      </c>
      <c r="E13" s="2">
        <v>1.27</v>
      </c>
      <c r="F13" s="2">
        <v>0.69</v>
      </c>
      <c r="G13" s="2">
        <v>1.57</v>
      </c>
      <c r="H13" s="2">
        <v>0.84</v>
      </c>
      <c r="I13" s="2">
        <v>1.03</v>
      </c>
      <c r="J13" s="2">
        <v>0.57999999999999996</v>
      </c>
      <c r="K13" s="2">
        <v>0.56999999999999995</v>
      </c>
      <c r="L13" s="2">
        <v>0.53</v>
      </c>
      <c r="M13" s="2">
        <v>0.51</v>
      </c>
      <c r="N13" s="2">
        <v>0.48</v>
      </c>
      <c r="O13" s="2">
        <v>0.19</v>
      </c>
      <c r="P13" s="2">
        <v>0.17</v>
      </c>
      <c r="R13" s="1" t="s">
        <v>22</v>
      </c>
      <c r="S13" s="2">
        <v>10402.73</v>
      </c>
      <c r="T13" s="2">
        <v>10399.02</v>
      </c>
      <c r="U13" s="2">
        <v>8507.91</v>
      </c>
      <c r="V13" s="2">
        <v>7983.99</v>
      </c>
      <c r="W13" s="2">
        <v>13459.02</v>
      </c>
      <c r="X13" s="2">
        <v>12548.37</v>
      </c>
      <c r="Y13" s="2">
        <v>16568.849999999999</v>
      </c>
      <c r="Z13" s="2">
        <v>15713.05</v>
      </c>
      <c r="AA13" s="2">
        <v>9839.86</v>
      </c>
      <c r="AB13" s="2">
        <v>9829.85</v>
      </c>
      <c r="AC13" s="2">
        <v>14407.07</v>
      </c>
      <c r="AD13" s="2">
        <v>14406.81</v>
      </c>
      <c r="AE13" s="2">
        <v>18257.169999999998</v>
      </c>
      <c r="AF13" s="2">
        <v>18783.990000000002</v>
      </c>
      <c r="AI13" s="1" t="s">
        <v>22</v>
      </c>
      <c r="AJ13" s="2">
        <v>103811.47</v>
      </c>
      <c r="AK13" s="2">
        <v>102262.68</v>
      </c>
      <c r="AL13" s="2">
        <v>109295.93</v>
      </c>
      <c r="AM13" s="2">
        <v>96411.07</v>
      </c>
      <c r="AN13" s="2">
        <v>175888.34</v>
      </c>
      <c r="AO13" s="2">
        <v>155255.91</v>
      </c>
      <c r="AP13" s="2">
        <v>209630.31</v>
      </c>
      <c r="AQ13" s="2">
        <v>184774.71</v>
      </c>
      <c r="AR13" s="2">
        <v>85557.74</v>
      </c>
      <c r="AS13" s="2">
        <v>84119.05</v>
      </c>
      <c r="AT13" s="2">
        <v>122192.25</v>
      </c>
      <c r="AU13" s="2">
        <v>120176.87</v>
      </c>
      <c r="AV13" s="2">
        <v>87362.75</v>
      </c>
      <c r="AW13" s="2">
        <v>80103.61</v>
      </c>
      <c r="AZ13" s="1" t="s">
        <v>22</v>
      </c>
      <c r="BA13" s="2">
        <v>114214.2</v>
      </c>
      <c r="BB13" s="2">
        <v>112661.7</v>
      </c>
      <c r="BC13" s="2">
        <v>117803.84</v>
      </c>
      <c r="BD13" s="2">
        <v>104395.06</v>
      </c>
      <c r="BE13" s="2">
        <v>189347.36</v>
      </c>
      <c r="BF13" s="2">
        <v>167804.28</v>
      </c>
      <c r="BG13" s="2">
        <v>226199.16</v>
      </c>
      <c r="BH13" s="2">
        <v>200487.76</v>
      </c>
      <c r="BI13" s="2">
        <v>95397.6</v>
      </c>
      <c r="BJ13" s="2">
        <v>93948.9</v>
      </c>
      <c r="BK13" s="2">
        <v>136599.32</v>
      </c>
      <c r="BL13" s="2">
        <v>134583.67999999999</v>
      </c>
      <c r="BM13" s="2">
        <v>105619.92</v>
      </c>
      <c r="BN13" s="2">
        <v>98887.6</v>
      </c>
    </row>
    <row r="14" spans="2:66" x14ac:dyDescent="0.3">
      <c r="B14" s="1" t="s">
        <v>23</v>
      </c>
      <c r="C14" s="2">
        <v>0.61</v>
      </c>
      <c r="D14" s="2">
        <v>0.39</v>
      </c>
      <c r="E14" s="2">
        <v>0.62</v>
      </c>
      <c r="F14" s="2">
        <v>0.51</v>
      </c>
      <c r="G14" s="2">
        <v>0.75</v>
      </c>
      <c r="H14" s="2">
        <v>0.62</v>
      </c>
      <c r="I14" s="2">
        <v>0.52</v>
      </c>
      <c r="J14" s="2">
        <v>0.43</v>
      </c>
      <c r="K14" s="2">
        <v>1.1399999999999999</v>
      </c>
      <c r="L14" s="2">
        <v>0.55000000000000004</v>
      </c>
      <c r="M14" s="2">
        <v>1</v>
      </c>
      <c r="N14" s="2">
        <v>0.49</v>
      </c>
      <c r="O14" s="2">
        <v>0.54</v>
      </c>
      <c r="P14" s="2">
        <v>0.15</v>
      </c>
      <c r="R14" s="1" t="s">
        <v>23</v>
      </c>
      <c r="S14" s="2">
        <v>2254.17</v>
      </c>
      <c r="T14" s="2">
        <v>2173.15</v>
      </c>
      <c r="U14" s="2">
        <v>1657.22</v>
      </c>
      <c r="V14" s="2">
        <v>1628.41</v>
      </c>
      <c r="W14" s="2">
        <v>2610.08</v>
      </c>
      <c r="X14" s="2">
        <v>2557.73</v>
      </c>
      <c r="Y14" s="2">
        <v>3254.04</v>
      </c>
      <c r="Z14" s="2">
        <v>3208.44</v>
      </c>
      <c r="AA14" s="2">
        <v>2187.35</v>
      </c>
      <c r="AB14" s="2">
        <v>2074.84</v>
      </c>
      <c r="AC14" s="2">
        <v>3165.36</v>
      </c>
      <c r="AD14" s="2">
        <v>3028.36</v>
      </c>
      <c r="AE14" s="2">
        <v>3378.86</v>
      </c>
      <c r="AF14" s="2">
        <v>3880.28</v>
      </c>
      <c r="AI14" s="1" t="s">
        <v>23</v>
      </c>
      <c r="AJ14" s="2">
        <v>26601.57</v>
      </c>
      <c r="AK14" s="2">
        <v>23886.05</v>
      </c>
      <c r="AL14" s="2">
        <v>19599.05</v>
      </c>
      <c r="AM14" s="2">
        <v>18778.09</v>
      </c>
      <c r="AN14" s="2">
        <v>31550.46</v>
      </c>
      <c r="AO14" s="2">
        <v>30242.68</v>
      </c>
      <c r="AP14" s="2">
        <v>37563.26</v>
      </c>
      <c r="AQ14" s="2">
        <v>35969.949999999997</v>
      </c>
      <c r="AR14" s="2">
        <v>20380.45</v>
      </c>
      <c r="AS14" s="2">
        <v>17607.68</v>
      </c>
      <c r="AT14" s="2">
        <v>29158.01</v>
      </c>
      <c r="AU14" s="2">
        <v>25162.97</v>
      </c>
      <c r="AV14" s="2">
        <v>24731.24</v>
      </c>
      <c r="AW14" s="2">
        <v>16316.68</v>
      </c>
      <c r="AZ14" s="1" t="s">
        <v>23</v>
      </c>
      <c r="BA14" s="2">
        <v>28855.74</v>
      </c>
      <c r="BB14" s="2">
        <v>26059.200000000001</v>
      </c>
      <c r="BC14" s="2">
        <v>21256.27</v>
      </c>
      <c r="BD14" s="2">
        <v>20406.5</v>
      </c>
      <c r="BE14" s="2">
        <v>34160.550000000003</v>
      </c>
      <c r="BF14" s="2">
        <v>32800.410000000003</v>
      </c>
      <c r="BG14" s="2">
        <v>40817.300000000003</v>
      </c>
      <c r="BH14" s="2">
        <v>39178.39</v>
      </c>
      <c r="BI14" s="2">
        <v>22567.8</v>
      </c>
      <c r="BJ14" s="2">
        <v>19682.52</v>
      </c>
      <c r="BK14" s="2">
        <v>32323.37</v>
      </c>
      <c r="BL14" s="2">
        <v>28191.33</v>
      </c>
      <c r="BM14" s="2">
        <v>28110.1</v>
      </c>
      <c r="BN14" s="2">
        <v>20196.96</v>
      </c>
    </row>
    <row r="15" spans="2:66" x14ac:dyDescent="0.3">
      <c r="B15" s="1" t="s">
        <v>24</v>
      </c>
      <c r="C15" s="2">
        <v>0.41</v>
      </c>
      <c r="D15" s="2">
        <v>0.3</v>
      </c>
      <c r="E15" s="2">
        <v>0.65</v>
      </c>
      <c r="F15" s="2">
        <v>0.56999999999999995</v>
      </c>
      <c r="G15" s="2">
        <v>0.79</v>
      </c>
      <c r="H15" s="2">
        <v>0.68</v>
      </c>
      <c r="I15" s="2">
        <v>0.54</v>
      </c>
      <c r="J15" s="2">
        <v>0.47</v>
      </c>
      <c r="K15" s="2">
        <v>1.1100000000000001</v>
      </c>
      <c r="L15" s="2">
        <v>0.59</v>
      </c>
      <c r="M15" s="2">
        <v>0.97</v>
      </c>
      <c r="N15" s="2">
        <v>0.52</v>
      </c>
      <c r="O15" s="2">
        <v>0.49</v>
      </c>
      <c r="P15" s="2">
        <v>0.13</v>
      </c>
      <c r="R15" s="1" t="s">
        <v>24</v>
      </c>
      <c r="S15" s="2">
        <v>6540.29</v>
      </c>
      <c r="T15" s="2">
        <v>6431.25</v>
      </c>
      <c r="U15" s="2">
        <v>4993.41</v>
      </c>
      <c r="V15" s="2">
        <v>4927.8100000000004</v>
      </c>
      <c r="W15" s="2">
        <v>7870.29</v>
      </c>
      <c r="X15" s="2">
        <v>7750.26</v>
      </c>
      <c r="Y15" s="2">
        <v>9797.56</v>
      </c>
      <c r="Z15" s="2">
        <v>9691.19</v>
      </c>
      <c r="AA15" s="2">
        <v>6543.94</v>
      </c>
      <c r="AB15" s="2">
        <v>6243.16</v>
      </c>
      <c r="AC15" s="2">
        <v>9470.51</v>
      </c>
      <c r="AD15" s="2">
        <v>9105.2199999999993</v>
      </c>
      <c r="AE15" s="2">
        <v>10164.469999999999</v>
      </c>
      <c r="AF15" s="2">
        <v>11862.55</v>
      </c>
      <c r="AI15" s="1" t="s">
        <v>24</v>
      </c>
      <c r="AJ15" s="2">
        <v>72568.27</v>
      </c>
      <c r="AK15" s="2">
        <v>66558.03</v>
      </c>
      <c r="AL15" s="2">
        <v>59360.69</v>
      </c>
      <c r="AM15" s="2">
        <v>57598.879999999997</v>
      </c>
      <c r="AN15" s="2">
        <v>95576.48</v>
      </c>
      <c r="AO15" s="2">
        <v>92721.17</v>
      </c>
      <c r="AP15" s="2">
        <v>113786.12</v>
      </c>
      <c r="AQ15" s="2">
        <v>110341.16</v>
      </c>
      <c r="AR15" s="2">
        <v>60805.04</v>
      </c>
      <c r="AS15" s="2">
        <v>53558.42</v>
      </c>
      <c r="AT15" s="2">
        <v>86953.11</v>
      </c>
      <c r="AU15" s="2">
        <v>76561.72</v>
      </c>
      <c r="AV15" s="2">
        <v>72610.14</v>
      </c>
      <c r="AW15" s="2">
        <v>44705.4</v>
      </c>
      <c r="AZ15" s="1" t="s">
        <v>24</v>
      </c>
      <c r="BA15" s="2">
        <v>79108.56</v>
      </c>
      <c r="BB15" s="2">
        <v>72989.279999999999</v>
      </c>
      <c r="BC15" s="2">
        <v>64354.09</v>
      </c>
      <c r="BD15" s="2">
        <v>62526.68</v>
      </c>
      <c r="BE15" s="2">
        <v>103446.77</v>
      </c>
      <c r="BF15" s="2">
        <v>100471.43</v>
      </c>
      <c r="BG15" s="2">
        <v>123583.67999999999</v>
      </c>
      <c r="BH15" s="2">
        <v>120032.35</v>
      </c>
      <c r="BI15" s="2">
        <v>67348.98</v>
      </c>
      <c r="BJ15" s="2">
        <v>59801.58</v>
      </c>
      <c r="BK15" s="2">
        <v>96423.62</v>
      </c>
      <c r="BL15" s="2">
        <v>85666.94</v>
      </c>
      <c r="BM15" s="2">
        <v>82774.61</v>
      </c>
      <c r="BN15" s="2">
        <v>56567.95</v>
      </c>
    </row>
    <row r="16" spans="2:66" x14ac:dyDescent="0.3">
      <c r="B16" s="1" t="s">
        <v>25</v>
      </c>
      <c r="C16" s="2">
        <v>0.28000000000000003</v>
      </c>
      <c r="D16" s="2">
        <v>0.15</v>
      </c>
      <c r="E16" s="2">
        <v>0.68</v>
      </c>
      <c r="F16" s="2">
        <v>0.27</v>
      </c>
      <c r="G16" s="2">
        <v>0.83</v>
      </c>
      <c r="H16" s="2">
        <v>0.3</v>
      </c>
      <c r="I16" s="2">
        <v>0.56000000000000005</v>
      </c>
      <c r="J16" s="2">
        <v>0.24</v>
      </c>
      <c r="K16" s="2">
        <v>0.21</v>
      </c>
      <c r="L16" s="2">
        <v>0.18</v>
      </c>
      <c r="M16" s="2">
        <v>0.2</v>
      </c>
      <c r="N16" s="2">
        <v>0.17</v>
      </c>
      <c r="O16" s="2">
        <v>0.13</v>
      </c>
      <c r="P16" s="2">
        <v>0.12</v>
      </c>
      <c r="R16" s="1" t="s">
        <v>25</v>
      </c>
      <c r="S16" s="2">
        <v>6414.99</v>
      </c>
      <c r="T16" s="2">
        <v>6031.12</v>
      </c>
      <c r="U16" s="2">
        <v>5020.03</v>
      </c>
      <c r="V16" s="2">
        <v>4696.62</v>
      </c>
      <c r="W16" s="2">
        <v>7917.07</v>
      </c>
      <c r="X16" s="2">
        <v>7288.38</v>
      </c>
      <c r="Y16" s="2">
        <v>9839.89</v>
      </c>
      <c r="Z16" s="2">
        <v>9369.23</v>
      </c>
      <c r="AA16" s="2">
        <v>6257.95</v>
      </c>
      <c r="AB16" s="2">
        <v>6338.36</v>
      </c>
      <c r="AC16" s="2">
        <v>9214.9599999999991</v>
      </c>
      <c r="AD16" s="2">
        <v>9331.7900000000009</v>
      </c>
      <c r="AE16" s="2">
        <v>11977.46</v>
      </c>
      <c r="AF16" s="2">
        <v>9561.91</v>
      </c>
      <c r="AI16" s="1" t="s">
        <v>25</v>
      </c>
      <c r="AJ16" s="2">
        <v>65093.25</v>
      </c>
      <c r="AK16" s="2">
        <v>40210.160000000003</v>
      </c>
      <c r="AL16" s="2">
        <v>60023.63</v>
      </c>
      <c r="AM16" s="2">
        <v>46786.81</v>
      </c>
      <c r="AN16" s="2">
        <v>96625.38</v>
      </c>
      <c r="AO16" s="2">
        <v>75442.8</v>
      </c>
      <c r="AP16" s="2">
        <v>115044.52</v>
      </c>
      <c r="AQ16" s="2">
        <v>89461.02</v>
      </c>
      <c r="AR16" s="2">
        <v>40293.65</v>
      </c>
      <c r="AS16" s="2">
        <v>36869.74</v>
      </c>
      <c r="AT16" s="2">
        <v>57460.88</v>
      </c>
      <c r="AU16" s="2">
        <v>52570.400000000001</v>
      </c>
      <c r="AV16" s="2">
        <v>41942.14</v>
      </c>
      <c r="AW16" s="2">
        <v>31875.29</v>
      </c>
      <c r="AZ16" s="1" t="s">
        <v>25</v>
      </c>
      <c r="BA16" s="2">
        <v>71508.240000000005</v>
      </c>
      <c r="BB16" s="2">
        <v>46241.279999999999</v>
      </c>
      <c r="BC16" s="2">
        <v>65043.66</v>
      </c>
      <c r="BD16" s="2">
        <v>51483.43</v>
      </c>
      <c r="BE16" s="2">
        <v>104542.45</v>
      </c>
      <c r="BF16" s="2">
        <v>82731.179999999993</v>
      </c>
      <c r="BG16" s="2">
        <v>124884.41</v>
      </c>
      <c r="BH16" s="2">
        <v>98830.25</v>
      </c>
      <c r="BI16" s="2">
        <v>46551.6</v>
      </c>
      <c r="BJ16" s="2">
        <v>43208.1</v>
      </c>
      <c r="BK16" s="2">
        <v>66675.839999999997</v>
      </c>
      <c r="BL16" s="2">
        <v>61902.19</v>
      </c>
      <c r="BM16" s="2">
        <v>53919.6</v>
      </c>
      <c r="BN16" s="2">
        <v>41437.199999999997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0.13</v>
      </c>
      <c r="D23" s="2">
        <v>0.13</v>
      </c>
      <c r="E23" s="2">
        <v>0.13</v>
      </c>
      <c r="F23" s="2">
        <v>0.13</v>
      </c>
      <c r="G23" s="2">
        <v>0.13</v>
      </c>
      <c r="H23" s="2">
        <v>0.13</v>
      </c>
      <c r="I23" s="2">
        <v>0.13</v>
      </c>
      <c r="J23" s="2">
        <v>0.13</v>
      </c>
      <c r="K23" s="2">
        <v>0.18</v>
      </c>
      <c r="L23" s="2">
        <v>0.18</v>
      </c>
      <c r="M23" s="2">
        <v>0.18</v>
      </c>
      <c r="N23" s="2">
        <v>0.18</v>
      </c>
      <c r="O23" s="2">
        <v>0.23</v>
      </c>
      <c r="P23" s="2">
        <v>0.23</v>
      </c>
      <c r="R23" s="1" t="s">
        <v>18</v>
      </c>
      <c r="S23" s="2">
        <v>2578.71</v>
      </c>
      <c r="T23" s="2">
        <v>2517.1799999999998</v>
      </c>
      <c r="U23" s="2">
        <v>3889.81</v>
      </c>
      <c r="V23" s="2">
        <v>3970.01</v>
      </c>
      <c r="W23" s="2">
        <v>4046.18</v>
      </c>
      <c r="X23" s="2">
        <v>4128.4399999999996</v>
      </c>
      <c r="Y23" s="2">
        <v>3733.56</v>
      </c>
      <c r="Z23" s="2">
        <v>3810.65</v>
      </c>
      <c r="AA23" s="2">
        <v>2952.13</v>
      </c>
      <c r="AB23" s="2">
        <v>3024.7</v>
      </c>
      <c r="AC23" s="2">
        <v>2879.93</v>
      </c>
      <c r="AD23" s="2">
        <v>2955.23</v>
      </c>
      <c r="AE23" s="2">
        <v>1652.82</v>
      </c>
      <c r="AF23" s="2">
        <v>2059.14</v>
      </c>
      <c r="AI23" s="1" t="s">
        <v>18</v>
      </c>
      <c r="AJ23" s="2">
        <v>17192.490000000002</v>
      </c>
      <c r="AK23" s="2">
        <v>16781.22</v>
      </c>
      <c r="AL23" s="2">
        <v>25932.59</v>
      </c>
      <c r="AM23" s="2">
        <v>26467.27</v>
      </c>
      <c r="AN23" s="2">
        <v>26974.62</v>
      </c>
      <c r="AO23" s="2">
        <v>27522.92</v>
      </c>
      <c r="AP23" s="2">
        <v>24890.44</v>
      </c>
      <c r="AQ23" s="2">
        <v>25404.71</v>
      </c>
      <c r="AR23" s="2">
        <v>13121.95</v>
      </c>
      <c r="AS23" s="2">
        <v>13443.3</v>
      </c>
      <c r="AT23" s="2">
        <v>12799.75</v>
      </c>
      <c r="AU23" s="2">
        <v>13134.53</v>
      </c>
      <c r="AV23" s="2">
        <v>5513.1</v>
      </c>
      <c r="AW23" s="2">
        <v>6864.7</v>
      </c>
      <c r="AZ23" s="1" t="s">
        <v>18</v>
      </c>
      <c r="BA23" s="2">
        <v>19771.2</v>
      </c>
      <c r="BB23" s="2">
        <v>19298.400000000001</v>
      </c>
      <c r="BC23" s="2">
        <v>29822.400000000001</v>
      </c>
      <c r="BD23" s="2">
        <v>30437.279999999999</v>
      </c>
      <c r="BE23" s="2">
        <v>31020.799999999999</v>
      </c>
      <c r="BF23" s="2">
        <v>31651.360000000001</v>
      </c>
      <c r="BG23" s="2">
        <v>28624</v>
      </c>
      <c r="BH23" s="2">
        <v>29215.360000000001</v>
      </c>
      <c r="BI23" s="2">
        <v>16074.08</v>
      </c>
      <c r="BJ23" s="2">
        <v>16468</v>
      </c>
      <c r="BK23" s="2">
        <v>15679.68</v>
      </c>
      <c r="BL23" s="2">
        <v>16089.76</v>
      </c>
      <c r="BM23" s="2">
        <v>7165.92</v>
      </c>
      <c r="BN23" s="2">
        <v>8923.84</v>
      </c>
    </row>
    <row r="24" spans="2:66" x14ac:dyDescent="0.3">
      <c r="B24" s="1" t="s">
        <v>19</v>
      </c>
      <c r="C24" s="2">
        <v>0.13</v>
      </c>
      <c r="D24" s="2">
        <v>7.0000000000000007E-2</v>
      </c>
      <c r="E24" s="2">
        <v>0.09</v>
      </c>
      <c r="F24" s="2">
        <v>7.0000000000000007E-2</v>
      </c>
      <c r="G24" s="2">
        <v>0.08</v>
      </c>
      <c r="H24" s="2">
        <v>0.08</v>
      </c>
      <c r="I24" s="2">
        <v>0.09</v>
      </c>
      <c r="J24" s="2">
        <v>0.09</v>
      </c>
      <c r="K24" s="2">
        <v>0.12</v>
      </c>
      <c r="L24" s="2">
        <v>0.1</v>
      </c>
      <c r="M24" s="2">
        <v>0.12</v>
      </c>
      <c r="N24" s="2">
        <v>0.1</v>
      </c>
      <c r="O24" s="2">
        <v>0.23</v>
      </c>
      <c r="P24" s="2">
        <v>0.12</v>
      </c>
      <c r="R24" s="1" t="s">
        <v>19</v>
      </c>
      <c r="S24" s="2">
        <v>610.99</v>
      </c>
      <c r="T24" s="2">
        <v>739.21</v>
      </c>
      <c r="U24" s="2">
        <v>694.48</v>
      </c>
      <c r="V24" s="2">
        <v>881.45</v>
      </c>
      <c r="W24" s="2">
        <v>697.64</v>
      </c>
      <c r="X24" s="2">
        <v>1096.97</v>
      </c>
      <c r="Y24" s="2">
        <v>692.43</v>
      </c>
      <c r="Z24" s="2">
        <v>1161.8599999999999</v>
      </c>
      <c r="AA24" s="2">
        <v>661.68</v>
      </c>
      <c r="AB24" s="2">
        <v>655.6</v>
      </c>
      <c r="AC24" s="2">
        <v>664.84</v>
      </c>
      <c r="AD24" s="2">
        <v>653.53</v>
      </c>
      <c r="AE24" s="2">
        <v>423.18</v>
      </c>
      <c r="AF24" s="2">
        <v>573.62</v>
      </c>
      <c r="AI24" s="1" t="s">
        <v>19</v>
      </c>
      <c r="AJ24" s="2">
        <v>4073.67</v>
      </c>
      <c r="AK24" s="2">
        <v>9194.7099999999991</v>
      </c>
      <c r="AL24" s="2">
        <v>7291.3</v>
      </c>
      <c r="AM24" s="2">
        <v>11996.85</v>
      </c>
      <c r="AN24" s="2">
        <v>7607.4</v>
      </c>
      <c r="AO24" s="2">
        <v>12298.71</v>
      </c>
      <c r="AP24" s="2">
        <v>6972.07</v>
      </c>
      <c r="AQ24" s="2">
        <v>11201.08</v>
      </c>
      <c r="AR24" s="2">
        <v>4828.0200000000004</v>
      </c>
      <c r="AS24" s="2">
        <v>5851.04</v>
      </c>
      <c r="AT24" s="2">
        <v>4697.78</v>
      </c>
      <c r="AU24" s="2">
        <v>5700.37</v>
      </c>
      <c r="AV24" s="2">
        <v>1410.68</v>
      </c>
      <c r="AW24" s="2">
        <v>4029.22</v>
      </c>
      <c r="AZ24" s="1" t="s">
        <v>19</v>
      </c>
      <c r="BA24" s="2">
        <v>4684.66</v>
      </c>
      <c r="BB24" s="2">
        <v>9933.92</v>
      </c>
      <c r="BC24" s="2">
        <v>7985.78</v>
      </c>
      <c r="BD24" s="2">
        <v>12878.3</v>
      </c>
      <c r="BE24" s="2">
        <v>8305.0400000000009</v>
      </c>
      <c r="BF24" s="2">
        <v>13395.68</v>
      </c>
      <c r="BG24" s="2">
        <v>7664.5</v>
      </c>
      <c r="BH24" s="2">
        <v>12362.94</v>
      </c>
      <c r="BI24" s="2">
        <v>5489.7</v>
      </c>
      <c r="BJ24" s="2">
        <v>6506.64</v>
      </c>
      <c r="BK24" s="2">
        <v>5362.62</v>
      </c>
      <c r="BL24" s="2">
        <v>6353.9</v>
      </c>
      <c r="BM24" s="2">
        <v>1833.86</v>
      </c>
      <c r="BN24" s="2">
        <v>4602.84</v>
      </c>
    </row>
    <row r="25" spans="2:66" x14ac:dyDescent="0.3">
      <c r="B25" s="1" t="s">
        <v>20</v>
      </c>
      <c r="C25" s="2">
        <v>0.11</v>
      </c>
      <c r="D25" s="2">
        <v>7.0000000000000007E-2</v>
      </c>
      <c r="E25" s="2">
        <v>0.08</v>
      </c>
      <c r="F25" s="2">
        <v>0.08</v>
      </c>
      <c r="G25" s="2">
        <v>7.0000000000000007E-2</v>
      </c>
      <c r="H25" s="2">
        <v>0.09</v>
      </c>
      <c r="I25" s="2">
        <v>0.08</v>
      </c>
      <c r="J25" s="2">
        <v>7.0000000000000007E-2</v>
      </c>
      <c r="K25" s="2">
        <v>0.11</v>
      </c>
      <c r="L25" s="2">
        <v>0.15</v>
      </c>
      <c r="M25" s="2">
        <v>0.11</v>
      </c>
      <c r="N25" s="2">
        <v>0.15</v>
      </c>
      <c r="O25" s="2">
        <v>0.23</v>
      </c>
      <c r="P25" s="2">
        <v>0.13</v>
      </c>
      <c r="R25" s="1" t="s">
        <v>20</v>
      </c>
      <c r="S25" s="2">
        <v>1391.08</v>
      </c>
      <c r="T25" s="2">
        <v>1549.64</v>
      </c>
      <c r="U25" s="2">
        <v>1450.47</v>
      </c>
      <c r="V25" s="2">
        <v>1886.79</v>
      </c>
      <c r="W25" s="2">
        <v>1474.95</v>
      </c>
      <c r="X25" s="2">
        <v>2220.0700000000002</v>
      </c>
      <c r="Y25" s="2">
        <v>1426.88</v>
      </c>
      <c r="Z25" s="2">
        <v>1587.43</v>
      </c>
      <c r="AA25" s="2">
        <v>1307</v>
      </c>
      <c r="AB25" s="2">
        <v>1368.67</v>
      </c>
      <c r="AC25" s="2">
        <v>1309.18</v>
      </c>
      <c r="AD25" s="2">
        <v>1374.99</v>
      </c>
      <c r="AE25" s="2">
        <v>1062.42</v>
      </c>
      <c r="AF25" s="2">
        <v>1148.94</v>
      </c>
      <c r="AI25" s="1" t="s">
        <v>20</v>
      </c>
      <c r="AJ25" s="2">
        <v>11724.72</v>
      </c>
      <c r="AK25" s="2">
        <v>20044.64</v>
      </c>
      <c r="AL25" s="2">
        <v>17579.810000000001</v>
      </c>
      <c r="AM25" s="2">
        <v>21560.09</v>
      </c>
      <c r="AN25" s="2">
        <v>18312.05</v>
      </c>
      <c r="AO25" s="2">
        <v>22164.93</v>
      </c>
      <c r="AP25" s="2">
        <v>16842.64</v>
      </c>
      <c r="AQ25" s="2">
        <v>20921.330000000002</v>
      </c>
      <c r="AR25" s="2">
        <v>10720.88</v>
      </c>
      <c r="AS25" s="2">
        <v>8034.09</v>
      </c>
      <c r="AT25" s="2">
        <v>10434.9</v>
      </c>
      <c r="AU25" s="2">
        <v>7807.05</v>
      </c>
      <c r="AV25" s="2">
        <v>3541.46</v>
      </c>
      <c r="AW25" s="2">
        <v>8031.14</v>
      </c>
      <c r="AZ25" s="1" t="s">
        <v>20</v>
      </c>
      <c r="BA25" s="2">
        <v>13115.8</v>
      </c>
      <c r="BB25" s="2">
        <v>21594.28</v>
      </c>
      <c r="BC25" s="2">
        <v>19030.28</v>
      </c>
      <c r="BD25" s="2">
        <v>23446.880000000001</v>
      </c>
      <c r="BE25" s="2">
        <v>19787</v>
      </c>
      <c r="BF25" s="2">
        <v>24385</v>
      </c>
      <c r="BG25" s="2">
        <v>18269.52</v>
      </c>
      <c r="BH25" s="2">
        <v>22508.76</v>
      </c>
      <c r="BI25" s="2">
        <v>12027.88</v>
      </c>
      <c r="BJ25" s="2">
        <v>9402.76</v>
      </c>
      <c r="BK25" s="2">
        <v>11744.08</v>
      </c>
      <c r="BL25" s="2">
        <v>9182.0400000000009</v>
      </c>
      <c r="BM25" s="2">
        <v>4603.88</v>
      </c>
      <c r="BN25" s="2">
        <v>9180.08</v>
      </c>
    </row>
    <row r="26" spans="2:66" x14ac:dyDescent="0.3">
      <c r="B26" s="1" t="s">
        <v>21</v>
      </c>
      <c r="C26" s="2">
        <v>0.13</v>
      </c>
      <c r="D26" s="2">
        <v>0.08</v>
      </c>
      <c r="E26" s="2">
        <v>0.08</v>
      </c>
      <c r="F26" s="2">
        <v>7.0000000000000007E-2</v>
      </c>
      <c r="G26" s="2">
        <v>0.08</v>
      </c>
      <c r="H26" s="2">
        <v>0.08</v>
      </c>
      <c r="I26" s="2">
        <v>0.08</v>
      </c>
      <c r="J26" s="2">
        <v>7.0000000000000007E-2</v>
      </c>
      <c r="K26" s="2">
        <v>0.11</v>
      </c>
      <c r="L26" s="2">
        <v>0.13</v>
      </c>
      <c r="M26" s="2">
        <v>0.12</v>
      </c>
      <c r="N26" s="2">
        <v>0.13</v>
      </c>
      <c r="O26" s="2">
        <v>0.23</v>
      </c>
      <c r="P26" s="2">
        <v>0.17</v>
      </c>
      <c r="R26" s="1" t="s">
        <v>21</v>
      </c>
      <c r="S26" s="2">
        <v>704.01</v>
      </c>
      <c r="T26" s="2">
        <v>718.68</v>
      </c>
      <c r="U26" s="2">
        <v>713.11</v>
      </c>
      <c r="V26" s="2">
        <v>820.32</v>
      </c>
      <c r="W26" s="2">
        <v>722.9</v>
      </c>
      <c r="X26" s="2">
        <v>1004.23</v>
      </c>
      <c r="Y26" s="2">
        <v>704.32</v>
      </c>
      <c r="Z26" s="2">
        <v>780.88</v>
      </c>
      <c r="AA26" s="2">
        <v>656.26</v>
      </c>
      <c r="AB26" s="2">
        <v>671.66</v>
      </c>
      <c r="AC26" s="2">
        <v>658.58</v>
      </c>
      <c r="AD26" s="2">
        <v>675.22</v>
      </c>
      <c r="AE26" s="2">
        <v>638.98</v>
      </c>
      <c r="AF26" s="2">
        <v>646.38</v>
      </c>
      <c r="AI26" s="1" t="s">
        <v>21</v>
      </c>
      <c r="AJ26" s="2">
        <v>4878.3500000000004</v>
      </c>
      <c r="AK26" s="2">
        <v>8590.5</v>
      </c>
      <c r="AL26" s="2">
        <v>8381.23</v>
      </c>
      <c r="AM26" s="2">
        <v>10609.46</v>
      </c>
      <c r="AN26" s="2">
        <v>8735.0400000000009</v>
      </c>
      <c r="AO26" s="2">
        <v>10882.79</v>
      </c>
      <c r="AP26" s="2">
        <v>8026.42</v>
      </c>
      <c r="AQ26" s="2">
        <v>10191.66</v>
      </c>
      <c r="AR26" s="2">
        <v>5105.42</v>
      </c>
      <c r="AS26" s="2">
        <v>4452.4799999999996</v>
      </c>
      <c r="AT26" s="2">
        <v>4968.12</v>
      </c>
      <c r="AU26" s="2">
        <v>4328.7</v>
      </c>
      <c r="AV26" s="2">
        <v>2130</v>
      </c>
      <c r="AW26" s="2">
        <v>3167.16</v>
      </c>
      <c r="AZ26" s="1" t="s">
        <v>21</v>
      </c>
      <c r="BA26" s="2">
        <v>5582.36</v>
      </c>
      <c r="BB26" s="2">
        <v>9309.18</v>
      </c>
      <c r="BC26" s="2">
        <v>9094.34</v>
      </c>
      <c r="BD26" s="2">
        <v>11429.78</v>
      </c>
      <c r="BE26" s="2">
        <v>9457.94</v>
      </c>
      <c r="BF26" s="2">
        <v>11887.02</v>
      </c>
      <c r="BG26" s="2">
        <v>8730.74</v>
      </c>
      <c r="BH26" s="2">
        <v>10972.54</v>
      </c>
      <c r="BI26" s="2">
        <v>5761.68</v>
      </c>
      <c r="BJ26" s="2">
        <v>5124.1400000000003</v>
      </c>
      <c r="BK26" s="2">
        <v>5626.7</v>
      </c>
      <c r="BL26" s="2">
        <v>5003.92</v>
      </c>
      <c r="BM26" s="2">
        <v>2768.98</v>
      </c>
      <c r="BN26" s="2">
        <v>3813.54</v>
      </c>
    </row>
    <row r="27" spans="2:66" x14ac:dyDescent="0.3">
      <c r="B27" s="1" t="s">
        <v>22</v>
      </c>
      <c r="C27" s="2">
        <v>0.09</v>
      </c>
      <c r="D27" s="2">
        <v>0.09</v>
      </c>
      <c r="E27" s="2">
        <v>7.0000000000000007E-2</v>
      </c>
      <c r="F27" s="2">
        <v>0.08</v>
      </c>
      <c r="G27" s="2">
        <v>7.0000000000000007E-2</v>
      </c>
      <c r="H27" s="2">
        <v>7.0000000000000007E-2</v>
      </c>
      <c r="I27" s="2">
        <v>7.0000000000000007E-2</v>
      </c>
      <c r="J27" s="2">
        <v>0.08</v>
      </c>
      <c r="K27" s="2">
        <v>0.1</v>
      </c>
      <c r="L27" s="2">
        <v>0.1</v>
      </c>
      <c r="M27" s="2">
        <v>0.11</v>
      </c>
      <c r="N27" s="2">
        <v>0.11</v>
      </c>
      <c r="O27" s="2">
        <v>0.17</v>
      </c>
      <c r="P27" s="2">
        <v>0.19</v>
      </c>
      <c r="R27" s="1" t="s">
        <v>22</v>
      </c>
      <c r="S27" s="2">
        <v>3467.58</v>
      </c>
      <c r="T27" s="2">
        <v>3466.34</v>
      </c>
      <c r="U27" s="2">
        <v>3867.23</v>
      </c>
      <c r="V27" s="2">
        <v>3629.08</v>
      </c>
      <c r="W27" s="2">
        <v>3958.54</v>
      </c>
      <c r="X27" s="2">
        <v>3690.7</v>
      </c>
      <c r="Y27" s="2">
        <v>3765.65</v>
      </c>
      <c r="Z27" s="2">
        <v>3571.15</v>
      </c>
      <c r="AA27" s="2">
        <v>3279.95</v>
      </c>
      <c r="AB27" s="2">
        <v>3276.62</v>
      </c>
      <c r="AC27" s="2">
        <v>3274.33</v>
      </c>
      <c r="AD27" s="2">
        <v>3274.27</v>
      </c>
      <c r="AE27" s="2">
        <v>3260.21</v>
      </c>
      <c r="AF27" s="2">
        <v>3354.28</v>
      </c>
      <c r="AI27" s="1" t="s">
        <v>22</v>
      </c>
      <c r="AJ27" s="2">
        <v>34603.82</v>
      </c>
      <c r="AK27" s="2">
        <v>34087.56</v>
      </c>
      <c r="AL27" s="2">
        <v>49679.97</v>
      </c>
      <c r="AM27" s="2">
        <v>43823.22</v>
      </c>
      <c r="AN27" s="2">
        <v>51731.86</v>
      </c>
      <c r="AO27" s="2">
        <v>45663.5</v>
      </c>
      <c r="AP27" s="2">
        <v>47643.25</v>
      </c>
      <c r="AQ27" s="2">
        <v>41994.25</v>
      </c>
      <c r="AR27" s="2">
        <v>28519.25</v>
      </c>
      <c r="AS27" s="2">
        <v>28039.68</v>
      </c>
      <c r="AT27" s="2">
        <v>27770.97</v>
      </c>
      <c r="AU27" s="2">
        <v>27312.93</v>
      </c>
      <c r="AV27" s="2">
        <v>15600.49</v>
      </c>
      <c r="AW27" s="2">
        <v>14304.22</v>
      </c>
      <c r="AZ27" s="1" t="s">
        <v>22</v>
      </c>
      <c r="BA27" s="2">
        <v>38071.4</v>
      </c>
      <c r="BB27" s="2">
        <v>37553.9</v>
      </c>
      <c r="BC27" s="2">
        <v>53547.199999999997</v>
      </c>
      <c r="BD27" s="2">
        <v>47452.3</v>
      </c>
      <c r="BE27" s="2">
        <v>55690.400000000001</v>
      </c>
      <c r="BF27" s="2">
        <v>49354.2</v>
      </c>
      <c r="BG27" s="2">
        <v>51408.9</v>
      </c>
      <c r="BH27" s="2">
        <v>45565.4</v>
      </c>
      <c r="BI27" s="2">
        <v>31799.200000000001</v>
      </c>
      <c r="BJ27" s="2">
        <v>31316.3</v>
      </c>
      <c r="BK27" s="2">
        <v>31045.3</v>
      </c>
      <c r="BL27" s="2">
        <v>30587.200000000001</v>
      </c>
      <c r="BM27" s="2">
        <v>18860.7</v>
      </c>
      <c r="BN27" s="2">
        <v>17658.5</v>
      </c>
    </row>
    <row r="28" spans="2:66" x14ac:dyDescent="0.3">
      <c r="B28" s="1" t="s">
        <v>23</v>
      </c>
      <c r="C28" s="2">
        <v>0.08</v>
      </c>
      <c r="D28" s="2">
        <v>0.08</v>
      </c>
      <c r="E28" s="2">
        <v>0.08</v>
      </c>
      <c r="F28" s="2">
        <v>0.08</v>
      </c>
      <c r="G28" s="2">
        <v>0.08</v>
      </c>
      <c r="H28" s="2">
        <v>0.08</v>
      </c>
      <c r="I28" s="2">
        <v>0.08</v>
      </c>
      <c r="J28" s="2">
        <v>0.08</v>
      </c>
      <c r="K28" s="2">
        <v>0.1</v>
      </c>
      <c r="L28" s="2">
        <v>0.11</v>
      </c>
      <c r="M28" s="2">
        <v>0.1</v>
      </c>
      <c r="N28" s="2">
        <v>0.11</v>
      </c>
      <c r="O28" s="2">
        <v>0.12</v>
      </c>
      <c r="P28" s="2">
        <v>0.19</v>
      </c>
      <c r="R28" s="1" t="s">
        <v>23</v>
      </c>
      <c r="S28" s="2">
        <v>751.39</v>
      </c>
      <c r="T28" s="2">
        <v>724.38</v>
      </c>
      <c r="U28" s="2">
        <v>753.28</v>
      </c>
      <c r="V28" s="2">
        <v>740.18</v>
      </c>
      <c r="W28" s="2">
        <v>767.67</v>
      </c>
      <c r="X28" s="2">
        <v>752.27</v>
      </c>
      <c r="Y28" s="2">
        <v>739.56</v>
      </c>
      <c r="Z28" s="2">
        <v>729.19</v>
      </c>
      <c r="AA28" s="2">
        <v>729.12</v>
      </c>
      <c r="AB28" s="2">
        <v>691.61</v>
      </c>
      <c r="AC28" s="2">
        <v>719.4</v>
      </c>
      <c r="AD28" s="2">
        <v>688.26</v>
      </c>
      <c r="AE28" s="2">
        <v>603.37</v>
      </c>
      <c r="AF28" s="2">
        <v>692.91</v>
      </c>
      <c r="AI28" s="1" t="s">
        <v>23</v>
      </c>
      <c r="AJ28" s="2">
        <v>8867.19</v>
      </c>
      <c r="AK28" s="2">
        <v>7962.02</v>
      </c>
      <c r="AL28" s="2">
        <v>8908.66</v>
      </c>
      <c r="AM28" s="2">
        <v>8535.5</v>
      </c>
      <c r="AN28" s="2">
        <v>9279.5499999999993</v>
      </c>
      <c r="AO28" s="2">
        <v>8894.91</v>
      </c>
      <c r="AP28" s="2">
        <v>8537.1</v>
      </c>
      <c r="AQ28" s="2">
        <v>8174.99</v>
      </c>
      <c r="AR28" s="2">
        <v>6793.48</v>
      </c>
      <c r="AS28" s="2">
        <v>5869.23</v>
      </c>
      <c r="AT28" s="2">
        <v>6626.82</v>
      </c>
      <c r="AU28" s="2">
        <v>5718.86</v>
      </c>
      <c r="AV28" s="2">
        <v>4416.29</v>
      </c>
      <c r="AW28" s="2">
        <v>2913.69</v>
      </c>
      <c r="AZ28" s="1" t="s">
        <v>23</v>
      </c>
      <c r="BA28" s="2">
        <v>9618.58</v>
      </c>
      <c r="BB28" s="2">
        <v>8686.4</v>
      </c>
      <c r="BC28" s="2">
        <v>9661.94</v>
      </c>
      <c r="BD28" s="2">
        <v>9275.68</v>
      </c>
      <c r="BE28" s="2">
        <v>10047.219999999999</v>
      </c>
      <c r="BF28" s="2">
        <v>9647.18</v>
      </c>
      <c r="BG28" s="2">
        <v>9276.66</v>
      </c>
      <c r="BH28" s="2">
        <v>8904.18</v>
      </c>
      <c r="BI28" s="2">
        <v>7522.6</v>
      </c>
      <c r="BJ28" s="2">
        <v>6560.84</v>
      </c>
      <c r="BK28" s="2">
        <v>7346.22</v>
      </c>
      <c r="BL28" s="2">
        <v>6407.12</v>
      </c>
      <c r="BM28" s="2">
        <v>5019.66</v>
      </c>
      <c r="BN28" s="2">
        <v>3606.6</v>
      </c>
    </row>
    <row r="29" spans="2:66" x14ac:dyDescent="0.3">
      <c r="B29" s="1" t="s">
        <v>24</v>
      </c>
      <c r="C29" s="2">
        <v>0.08</v>
      </c>
      <c r="D29" s="2">
        <v>0.09</v>
      </c>
      <c r="E29" s="2">
        <v>0.08</v>
      </c>
      <c r="F29" s="2">
        <v>0.08</v>
      </c>
      <c r="G29" s="2">
        <v>0.08</v>
      </c>
      <c r="H29" s="2">
        <v>0.08</v>
      </c>
      <c r="I29" s="2">
        <v>0.08</v>
      </c>
      <c r="J29" s="2">
        <v>0.08</v>
      </c>
      <c r="K29" s="2">
        <v>0.1</v>
      </c>
      <c r="L29" s="2">
        <v>0.1</v>
      </c>
      <c r="M29" s="2">
        <v>0.1</v>
      </c>
      <c r="N29" s="2">
        <v>0.11</v>
      </c>
      <c r="O29" s="2">
        <v>0.12</v>
      </c>
      <c r="P29" s="2">
        <v>0.21</v>
      </c>
      <c r="R29" s="1" t="s">
        <v>24</v>
      </c>
      <c r="S29" s="2">
        <v>2180.1</v>
      </c>
      <c r="T29" s="2">
        <v>2143.75</v>
      </c>
      <c r="U29" s="2">
        <v>2269.73</v>
      </c>
      <c r="V29" s="2">
        <v>2239.91</v>
      </c>
      <c r="W29" s="2">
        <v>2314.79</v>
      </c>
      <c r="X29" s="2">
        <v>2279.4899999999998</v>
      </c>
      <c r="Y29" s="2">
        <v>2226.7199999999998</v>
      </c>
      <c r="Z29" s="2">
        <v>2202.54</v>
      </c>
      <c r="AA29" s="2">
        <v>2181.31</v>
      </c>
      <c r="AB29" s="2">
        <v>2081.0500000000002</v>
      </c>
      <c r="AC29" s="2">
        <v>2152.39</v>
      </c>
      <c r="AD29" s="2">
        <v>2069.37</v>
      </c>
      <c r="AE29" s="2">
        <v>1815.08</v>
      </c>
      <c r="AF29" s="2">
        <v>2118.31</v>
      </c>
      <c r="AI29" s="1" t="s">
        <v>24</v>
      </c>
      <c r="AJ29" s="2">
        <v>24189.42</v>
      </c>
      <c r="AK29" s="2">
        <v>22186.01</v>
      </c>
      <c r="AL29" s="2">
        <v>26982.13</v>
      </c>
      <c r="AM29" s="2">
        <v>26181.31</v>
      </c>
      <c r="AN29" s="2">
        <v>28110.73</v>
      </c>
      <c r="AO29" s="2">
        <v>27270.93</v>
      </c>
      <c r="AP29" s="2">
        <v>25860.48</v>
      </c>
      <c r="AQ29" s="2">
        <v>25077.54</v>
      </c>
      <c r="AR29" s="2">
        <v>20268.349999999999</v>
      </c>
      <c r="AS29" s="2">
        <v>17852.810000000001</v>
      </c>
      <c r="AT29" s="2">
        <v>19762.07</v>
      </c>
      <c r="AU29" s="2">
        <v>17400.39</v>
      </c>
      <c r="AV29" s="2">
        <v>12966.1</v>
      </c>
      <c r="AW29" s="2">
        <v>7983.11</v>
      </c>
      <c r="AZ29" s="1" t="s">
        <v>24</v>
      </c>
      <c r="BA29" s="2">
        <v>26369.52</v>
      </c>
      <c r="BB29" s="2">
        <v>24329.759999999998</v>
      </c>
      <c r="BC29" s="2">
        <v>29251.86</v>
      </c>
      <c r="BD29" s="2">
        <v>28421.22</v>
      </c>
      <c r="BE29" s="2">
        <v>30425.52</v>
      </c>
      <c r="BF29" s="2">
        <v>29550.42</v>
      </c>
      <c r="BG29" s="2">
        <v>28087.200000000001</v>
      </c>
      <c r="BH29" s="2">
        <v>27280.080000000002</v>
      </c>
      <c r="BI29" s="2">
        <v>22449.66</v>
      </c>
      <c r="BJ29" s="2">
        <v>19933.86</v>
      </c>
      <c r="BK29" s="2">
        <v>21914.46</v>
      </c>
      <c r="BL29" s="2">
        <v>19469.759999999998</v>
      </c>
      <c r="BM29" s="2">
        <v>14781.18</v>
      </c>
      <c r="BN29" s="2">
        <v>10101.42</v>
      </c>
    </row>
    <row r="30" spans="2:66" x14ac:dyDescent="0.3">
      <c r="B30" s="1" t="s">
        <v>25</v>
      </c>
      <c r="C30" s="2">
        <v>0.09</v>
      </c>
      <c r="D30" s="2">
        <v>0.13</v>
      </c>
      <c r="E30" s="2">
        <v>0.08</v>
      </c>
      <c r="F30" s="2">
        <v>0.09</v>
      </c>
      <c r="G30" s="2">
        <v>0.08</v>
      </c>
      <c r="H30" s="2">
        <v>0.09</v>
      </c>
      <c r="I30" s="2">
        <v>0.08</v>
      </c>
      <c r="J30" s="2">
        <v>0.09</v>
      </c>
      <c r="K30" s="2">
        <v>0.13</v>
      </c>
      <c r="L30" s="2">
        <v>0.15</v>
      </c>
      <c r="M30" s="2">
        <v>0.14000000000000001</v>
      </c>
      <c r="N30" s="2">
        <v>0.15</v>
      </c>
      <c r="O30" s="2">
        <v>0.22</v>
      </c>
      <c r="P30" s="2">
        <v>0.23</v>
      </c>
      <c r="R30" s="1" t="s">
        <v>25</v>
      </c>
      <c r="S30" s="2">
        <v>2138.33</v>
      </c>
      <c r="T30" s="2">
        <v>2010.37</v>
      </c>
      <c r="U30" s="2">
        <v>2281.83</v>
      </c>
      <c r="V30" s="2">
        <v>2134.83</v>
      </c>
      <c r="W30" s="2">
        <v>2328.5500000000002</v>
      </c>
      <c r="X30" s="2">
        <v>2143.64</v>
      </c>
      <c r="Y30" s="2">
        <v>2236.34</v>
      </c>
      <c r="Z30" s="2">
        <v>2129.37</v>
      </c>
      <c r="AA30" s="2">
        <v>2085.98</v>
      </c>
      <c r="AB30" s="2">
        <v>2112.79</v>
      </c>
      <c r="AC30" s="2">
        <v>2094.31</v>
      </c>
      <c r="AD30" s="2">
        <v>2120.86</v>
      </c>
      <c r="AE30" s="2">
        <v>2138.83</v>
      </c>
      <c r="AF30" s="2">
        <v>1707.48</v>
      </c>
      <c r="AI30" s="1" t="s">
        <v>25</v>
      </c>
      <c r="AJ30" s="2">
        <v>21697.75</v>
      </c>
      <c r="AK30" s="2">
        <v>13403.39</v>
      </c>
      <c r="AL30" s="2">
        <v>27283.47</v>
      </c>
      <c r="AM30" s="2">
        <v>21266.73</v>
      </c>
      <c r="AN30" s="2">
        <v>28419.23</v>
      </c>
      <c r="AO30" s="2">
        <v>22189.06</v>
      </c>
      <c r="AP30" s="2">
        <v>26146.48</v>
      </c>
      <c r="AQ30" s="2">
        <v>20332.05</v>
      </c>
      <c r="AR30" s="2">
        <v>13431.22</v>
      </c>
      <c r="AS30" s="2">
        <v>12289.91</v>
      </c>
      <c r="AT30" s="2">
        <v>13059.29</v>
      </c>
      <c r="AU30" s="2">
        <v>11947.82</v>
      </c>
      <c r="AV30" s="2">
        <v>7489.67</v>
      </c>
      <c r="AW30" s="2">
        <v>5692.02</v>
      </c>
      <c r="AZ30" s="1" t="s">
        <v>25</v>
      </c>
      <c r="BA30" s="2">
        <v>23836.080000000002</v>
      </c>
      <c r="BB30" s="2">
        <v>15413.76</v>
      </c>
      <c r="BC30" s="2">
        <v>29565.3</v>
      </c>
      <c r="BD30" s="2">
        <v>23401.56</v>
      </c>
      <c r="BE30" s="2">
        <v>30747.78</v>
      </c>
      <c r="BF30" s="2">
        <v>24332.7</v>
      </c>
      <c r="BG30" s="2">
        <v>28382.82</v>
      </c>
      <c r="BH30" s="2">
        <v>22461.42</v>
      </c>
      <c r="BI30" s="2">
        <v>15517.2</v>
      </c>
      <c r="BJ30" s="2">
        <v>14402.7</v>
      </c>
      <c r="BK30" s="2">
        <v>15153.6</v>
      </c>
      <c r="BL30" s="2">
        <v>14068.68</v>
      </c>
      <c r="BM30" s="2">
        <v>9628.5</v>
      </c>
      <c r="BN30" s="2">
        <v>7399.5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1551.32</v>
      </c>
      <c r="D37" s="2">
        <v>1514.76</v>
      </c>
      <c r="E37" s="2">
        <v>1710.42</v>
      </c>
      <c r="F37" s="2">
        <v>1744.83</v>
      </c>
      <c r="G37" s="2">
        <v>2747.21</v>
      </c>
      <c r="H37" s="2">
        <v>2801.13</v>
      </c>
      <c r="I37" s="2">
        <v>3285.31</v>
      </c>
      <c r="J37" s="2">
        <v>3352.3</v>
      </c>
      <c r="K37" s="2">
        <v>1512.72</v>
      </c>
      <c r="L37" s="2">
        <v>1549.11</v>
      </c>
      <c r="M37" s="2">
        <v>2163.48</v>
      </c>
      <c r="N37" s="2">
        <v>2220.5300000000002</v>
      </c>
      <c r="O37" s="2">
        <v>1403.76</v>
      </c>
      <c r="P37" s="2">
        <v>1748.11</v>
      </c>
      <c r="R37" s="1" t="s">
        <v>18</v>
      </c>
      <c r="S37" s="2">
        <v>322.33999999999997</v>
      </c>
      <c r="T37" s="2">
        <v>314.64999999999998</v>
      </c>
      <c r="U37" s="2">
        <v>486.23</v>
      </c>
      <c r="V37" s="2">
        <v>496.25</v>
      </c>
      <c r="W37" s="2">
        <v>505.77</v>
      </c>
      <c r="X37" s="2">
        <v>516.04999999999995</v>
      </c>
      <c r="Y37" s="2">
        <v>466.69</v>
      </c>
      <c r="Z37" s="2">
        <v>476.33</v>
      </c>
      <c r="AA37" s="2">
        <v>369.02</v>
      </c>
      <c r="AB37" s="2">
        <v>378.09</v>
      </c>
      <c r="AC37" s="2">
        <v>359.99</v>
      </c>
      <c r="AD37" s="2">
        <v>369.4</v>
      </c>
      <c r="AE37" s="2">
        <v>206.6</v>
      </c>
      <c r="AF37" s="2">
        <v>257.39</v>
      </c>
      <c r="AI37" s="1" t="s">
        <v>18</v>
      </c>
      <c r="AJ37" s="2">
        <v>2149.06</v>
      </c>
      <c r="AK37" s="2">
        <v>2097.65</v>
      </c>
      <c r="AL37" s="2">
        <v>3241.57</v>
      </c>
      <c r="AM37" s="2">
        <v>3308.41</v>
      </c>
      <c r="AN37" s="2">
        <v>3371.83</v>
      </c>
      <c r="AO37" s="2">
        <v>3440.37</v>
      </c>
      <c r="AP37" s="2">
        <v>3111.31</v>
      </c>
      <c r="AQ37" s="2">
        <v>3175.59</v>
      </c>
      <c r="AR37" s="2">
        <v>1640.24</v>
      </c>
      <c r="AS37" s="2">
        <v>1680.41</v>
      </c>
      <c r="AT37" s="2">
        <v>1599.97</v>
      </c>
      <c r="AU37" s="2">
        <v>1641.82</v>
      </c>
      <c r="AV37" s="2">
        <v>689.14</v>
      </c>
      <c r="AW37" s="2">
        <v>858.09</v>
      </c>
      <c r="AZ37" s="1" t="s">
        <v>18</v>
      </c>
      <c r="BA37" s="2">
        <v>2471.4</v>
      </c>
      <c r="BB37" s="2">
        <v>2412.3000000000002</v>
      </c>
      <c r="BC37" s="2">
        <v>3727.8</v>
      </c>
      <c r="BD37" s="2">
        <v>3804.66</v>
      </c>
      <c r="BE37" s="2">
        <v>3877.6</v>
      </c>
      <c r="BF37" s="2">
        <v>3956.42</v>
      </c>
      <c r="BG37" s="2">
        <v>3578</v>
      </c>
      <c r="BH37" s="2">
        <v>3651.92</v>
      </c>
      <c r="BI37" s="2">
        <v>2009.26</v>
      </c>
      <c r="BJ37" s="2">
        <v>2058.5</v>
      </c>
      <c r="BK37" s="2">
        <v>1959.96</v>
      </c>
      <c r="BL37" s="2">
        <v>2011.22</v>
      </c>
      <c r="BM37" s="2">
        <v>895.74</v>
      </c>
      <c r="BN37" s="2">
        <v>1115.48</v>
      </c>
    </row>
    <row r="38" spans="2:66" x14ac:dyDescent="0.3">
      <c r="B38" s="1" t="s">
        <v>19</v>
      </c>
      <c r="C38" s="2">
        <v>384.8</v>
      </c>
      <c r="D38" s="2">
        <v>2335.14</v>
      </c>
      <c r="E38" s="2">
        <v>642.61</v>
      </c>
      <c r="F38" s="2">
        <v>8407.49</v>
      </c>
      <c r="G38" s="2">
        <v>1143.3800000000001</v>
      </c>
      <c r="H38" s="2">
        <v>16215.33</v>
      </c>
      <c r="I38" s="2">
        <v>1127.3699999999999</v>
      </c>
      <c r="J38" s="2">
        <v>11093.41</v>
      </c>
      <c r="K38" s="2">
        <v>736.55</v>
      </c>
      <c r="L38" s="2">
        <v>1540.34</v>
      </c>
      <c r="M38" s="2">
        <v>999.91</v>
      </c>
      <c r="N38" s="2">
        <v>2002.25</v>
      </c>
      <c r="O38" s="2">
        <v>380.18</v>
      </c>
      <c r="P38" s="2">
        <v>1669.43</v>
      </c>
      <c r="R38" s="1" t="s">
        <v>19</v>
      </c>
      <c r="S38" s="2">
        <v>610.99</v>
      </c>
      <c r="T38" s="2">
        <v>739.21</v>
      </c>
      <c r="U38" s="2">
        <v>694.48</v>
      </c>
      <c r="V38" s="2">
        <v>881.45</v>
      </c>
      <c r="W38" s="2">
        <v>697.64</v>
      </c>
      <c r="X38" s="2">
        <v>1096.97</v>
      </c>
      <c r="Y38" s="2">
        <v>692.43</v>
      </c>
      <c r="Z38" s="2">
        <v>1161.8599999999999</v>
      </c>
      <c r="AA38" s="2">
        <v>661.68</v>
      </c>
      <c r="AB38" s="2">
        <v>655.6</v>
      </c>
      <c r="AC38" s="2">
        <v>664.84</v>
      </c>
      <c r="AD38" s="2">
        <v>653.53</v>
      </c>
      <c r="AE38" s="2">
        <v>423.18</v>
      </c>
      <c r="AF38" s="2">
        <v>573.62</v>
      </c>
      <c r="AI38" s="1" t="s">
        <v>19</v>
      </c>
      <c r="AJ38" s="2">
        <v>4073.67</v>
      </c>
      <c r="AK38" s="2">
        <v>9194.7099999999991</v>
      </c>
      <c r="AL38" s="2">
        <v>7291.3</v>
      </c>
      <c r="AM38" s="2">
        <v>11996.85</v>
      </c>
      <c r="AN38" s="2">
        <v>7607.4</v>
      </c>
      <c r="AO38" s="2">
        <v>12298.71</v>
      </c>
      <c r="AP38" s="2">
        <v>6972.07</v>
      </c>
      <c r="AQ38" s="2">
        <v>11201.08</v>
      </c>
      <c r="AR38" s="2">
        <v>4828.0200000000004</v>
      </c>
      <c r="AS38" s="2">
        <v>5851.04</v>
      </c>
      <c r="AT38" s="2">
        <v>4697.78</v>
      </c>
      <c r="AU38" s="2">
        <v>5700.37</v>
      </c>
      <c r="AV38" s="2">
        <v>1410.68</v>
      </c>
      <c r="AW38" s="2">
        <v>4029.22</v>
      </c>
      <c r="AZ38" s="1" t="s">
        <v>19</v>
      </c>
      <c r="BA38" s="2">
        <v>4684.66</v>
      </c>
      <c r="BB38" s="2">
        <v>9933.92</v>
      </c>
      <c r="BC38" s="2">
        <v>7985.78</v>
      </c>
      <c r="BD38" s="2">
        <v>12878.3</v>
      </c>
      <c r="BE38" s="2">
        <v>8305.0400000000009</v>
      </c>
      <c r="BF38" s="2">
        <v>13395.68</v>
      </c>
      <c r="BG38" s="2">
        <v>7664.5</v>
      </c>
      <c r="BH38" s="2">
        <v>12362.94</v>
      </c>
      <c r="BI38" s="2">
        <v>5489.7</v>
      </c>
      <c r="BJ38" s="2">
        <v>6506.64</v>
      </c>
      <c r="BK38" s="2">
        <v>5362.62</v>
      </c>
      <c r="BL38" s="2">
        <v>6353.9</v>
      </c>
      <c r="BM38" s="2">
        <v>1833.86</v>
      </c>
      <c r="BN38" s="2">
        <v>4602.84</v>
      </c>
    </row>
    <row r="39" spans="2:66" x14ac:dyDescent="0.3">
      <c r="B39" s="1" t="s">
        <v>20</v>
      </c>
      <c r="C39" s="2">
        <v>1083.69</v>
      </c>
      <c r="D39" s="2">
        <v>7526.94</v>
      </c>
      <c r="E39" s="2">
        <v>2727.82</v>
      </c>
      <c r="F39" s="2">
        <v>8996.86</v>
      </c>
      <c r="G39" s="2">
        <v>5175.16</v>
      </c>
      <c r="H39" s="2">
        <v>16371.75</v>
      </c>
      <c r="I39" s="2">
        <v>4453.78</v>
      </c>
      <c r="J39" s="2">
        <v>14166.4</v>
      </c>
      <c r="K39" s="2">
        <v>2109.21</v>
      </c>
      <c r="L39" s="2">
        <v>980.13</v>
      </c>
      <c r="M39" s="2">
        <v>2791.04</v>
      </c>
      <c r="N39" s="2">
        <v>1376.76</v>
      </c>
      <c r="O39" s="2">
        <v>953.04</v>
      </c>
      <c r="P39" s="2">
        <v>3297.72</v>
      </c>
      <c r="R39" s="1" t="s">
        <v>20</v>
      </c>
      <c r="S39" s="2">
        <v>695.54</v>
      </c>
      <c r="T39" s="2">
        <v>774.82</v>
      </c>
      <c r="U39" s="2">
        <v>725.24</v>
      </c>
      <c r="V39" s="2">
        <v>943.4</v>
      </c>
      <c r="W39" s="2">
        <v>737.47</v>
      </c>
      <c r="X39" s="2">
        <v>1110.04</v>
      </c>
      <c r="Y39" s="2">
        <v>713.44</v>
      </c>
      <c r="Z39" s="2">
        <v>793.72</v>
      </c>
      <c r="AA39" s="2">
        <v>653.5</v>
      </c>
      <c r="AB39" s="2">
        <v>684.33</v>
      </c>
      <c r="AC39" s="2">
        <v>654.59</v>
      </c>
      <c r="AD39" s="2">
        <v>687.49</v>
      </c>
      <c r="AE39" s="2">
        <v>531.21</v>
      </c>
      <c r="AF39" s="2">
        <v>574.47</v>
      </c>
      <c r="AI39" s="1" t="s">
        <v>20</v>
      </c>
      <c r="AJ39" s="2">
        <v>5862.36</v>
      </c>
      <c r="AK39" s="2">
        <v>10022.32</v>
      </c>
      <c r="AL39" s="2">
        <v>8789.9</v>
      </c>
      <c r="AM39" s="2">
        <v>10780.04</v>
      </c>
      <c r="AN39" s="2">
        <v>9156.0300000000007</v>
      </c>
      <c r="AO39" s="2">
        <v>11082.46</v>
      </c>
      <c r="AP39" s="2">
        <v>8421.32</v>
      </c>
      <c r="AQ39" s="2">
        <v>10460.66</v>
      </c>
      <c r="AR39" s="2">
        <v>5360.44</v>
      </c>
      <c r="AS39" s="2">
        <v>4017.05</v>
      </c>
      <c r="AT39" s="2">
        <v>5217.45</v>
      </c>
      <c r="AU39" s="2">
        <v>3903.53</v>
      </c>
      <c r="AV39" s="2">
        <v>1770.73</v>
      </c>
      <c r="AW39" s="2">
        <v>4015.57</v>
      </c>
      <c r="AZ39" s="1" t="s">
        <v>20</v>
      </c>
      <c r="BA39" s="2">
        <v>6557.9</v>
      </c>
      <c r="BB39" s="2">
        <v>10797.14</v>
      </c>
      <c r="BC39" s="2">
        <v>9515.14</v>
      </c>
      <c r="BD39" s="2">
        <v>11723.44</v>
      </c>
      <c r="BE39" s="2">
        <v>9893.5</v>
      </c>
      <c r="BF39" s="2">
        <v>12192.5</v>
      </c>
      <c r="BG39" s="2">
        <v>9134.76</v>
      </c>
      <c r="BH39" s="2">
        <v>11254.38</v>
      </c>
      <c r="BI39" s="2">
        <v>6013.94</v>
      </c>
      <c r="BJ39" s="2">
        <v>4701.38</v>
      </c>
      <c r="BK39" s="2">
        <v>5872.04</v>
      </c>
      <c r="BL39" s="2">
        <v>4591.0200000000004</v>
      </c>
      <c r="BM39" s="2">
        <v>2301.94</v>
      </c>
      <c r="BN39" s="2">
        <v>4590.04</v>
      </c>
    </row>
    <row r="40" spans="2:66" x14ac:dyDescent="0.3">
      <c r="B40" s="1" t="s">
        <v>21</v>
      </c>
      <c r="C40" s="2">
        <v>447.06</v>
      </c>
      <c r="D40" s="2">
        <v>1665.23</v>
      </c>
      <c r="E40" s="2">
        <v>1091.2</v>
      </c>
      <c r="F40" s="2">
        <v>3911.36</v>
      </c>
      <c r="G40" s="2">
        <v>2042.48</v>
      </c>
      <c r="H40" s="2">
        <v>7405.19</v>
      </c>
      <c r="I40" s="2">
        <v>1812.93</v>
      </c>
      <c r="J40" s="2">
        <v>6069.34</v>
      </c>
      <c r="K40" s="2">
        <v>880.95</v>
      </c>
      <c r="L40" s="2">
        <v>596.66</v>
      </c>
      <c r="M40" s="2">
        <v>1179.6400000000001</v>
      </c>
      <c r="N40" s="2">
        <v>823.15</v>
      </c>
      <c r="O40" s="2">
        <v>570.45000000000005</v>
      </c>
      <c r="P40" s="2">
        <v>880.16</v>
      </c>
      <c r="R40" s="1" t="s">
        <v>21</v>
      </c>
      <c r="S40" s="2">
        <v>704.01</v>
      </c>
      <c r="T40" s="2">
        <v>718.68</v>
      </c>
      <c r="U40" s="2">
        <v>713.11</v>
      </c>
      <c r="V40" s="2">
        <v>820.32</v>
      </c>
      <c r="W40" s="2">
        <v>722.9</v>
      </c>
      <c r="X40" s="2">
        <v>1004.23</v>
      </c>
      <c r="Y40" s="2">
        <v>704.32</v>
      </c>
      <c r="Z40" s="2">
        <v>780.88</v>
      </c>
      <c r="AA40" s="2">
        <v>656.26</v>
      </c>
      <c r="AB40" s="2">
        <v>671.66</v>
      </c>
      <c r="AC40" s="2">
        <v>658.58</v>
      </c>
      <c r="AD40" s="2">
        <v>675.22</v>
      </c>
      <c r="AE40" s="2">
        <v>638.98</v>
      </c>
      <c r="AF40" s="2">
        <v>646.38</v>
      </c>
      <c r="AI40" s="1" t="s">
        <v>21</v>
      </c>
      <c r="AJ40" s="2">
        <v>4878.3500000000004</v>
      </c>
      <c r="AK40" s="2">
        <v>8590.5</v>
      </c>
      <c r="AL40" s="2">
        <v>8381.23</v>
      </c>
      <c r="AM40" s="2">
        <v>10609.46</v>
      </c>
      <c r="AN40" s="2">
        <v>8735.0400000000009</v>
      </c>
      <c r="AO40" s="2">
        <v>10882.79</v>
      </c>
      <c r="AP40" s="2">
        <v>8026.42</v>
      </c>
      <c r="AQ40" s="2">
        <v>10191.66</v>
      </c>
      <c r="AR40" s="2">
        <v>5105.42</v>
      </c>
      <c r="AS40" s="2">
        <v>4452.4799999999996</v>
      </c>
      <c r="AT40" s="2">
        <v>4968.12</v>
      </c>
      <c r="AU40" s="2">
        <v>4328.7</v>
      </c>
      <c r="AV40" s="2">
        <v>2130</v>
      </c>
      <c r="AW40" s="2">
        <v>3167.16</v>
      </c>
      <c r="AZ40" s="1" t="s">
        <v>21</v>
      </c>
      <c r="BA40" s="2">
        <v>5582.36</v>
      </c>
      <c r="BB40" s="2">
        <v>9309.18</v>
      </c>
      <c r="BC40" s="2">
        <v>9094.34</v>
      </c>
      <c r="BD40" s="2">
        <v>11429.78</v>
      </c>
      <c r="BE40" s="2">
        <v>9457.94</v>
      </c>
      <c r="BF40" s="2">
        <v>11887.02</v>
      </c>
      <c r="BG40" s="2">
        <v>8730.74</v>
      </c>
      <c r="BH40" s="2">
        <v>10972.54</v>
      </c>
      <c r="BI40" s="2">
        <v>5761.68</v>
      </c>
      <c r="BJ40" s="2">
        <v>5124.1400000000003</v>
      </c>
      <c r="BK40" s="2">
        <v>5626.7</v>
      </c>
      <c r="BL40" s="2">
        <v>5003.92</v>
      </c>
      <c r="BM40" s="2">
        <v>2768.98</v>
      </c>
      <c r="BN40" s="2">
        <v>3813.54</v>
      </c>
    </row>
    <row r="41" spans="2:66" x14ac:dyDescent="0.3">
      <c r="B41" s="1" t="s">
        <v>22</v>
      </c>
      <c r="C41" s="2">
        <v>3666.73</v>
      </c>
      <c r="D41" s="2">
        <v>3527.19</v>
      </c>
      <c r="E41" s="2">
        <v>12783.08</v>
      </c>
      <c r="F41" s="2">
        <v>6537.89</v>
      </c>
      <c r="G41" s="2">
        <v>24986.1</v>
      </c>
      <c r="H41" s="2">
        <v>12415.51</v>
      </c>
      <c r="I41" s="2">
        <v>20134.259999999998</v>
      </c>
      <c r="J41" s="2">
        <v>10698.53</v>
      </c>
      <c r="K41" s="2">
        <v>6673.64</v>
      </c>
      <c r="L41" s="2">
        <v>6191.57</v>
      </c>
      <c r="M41" s="2">
        <v>8708.75</v>
      </c>
      <c r="N41" s="2">
        <v>8125.71</v>
      </c>
      <c r="O41" s="2">
        <v>4184</v>
      </c>
      <c r="P41" s="2">
        <v>3680.45</v>
      </c>
      <c r="R41" s="1" t="s">
        <v>22</v>
      </c>
      <c r="S41" s="2">
        <v>693.52</v>
      </c>
      <c r="T41" s="2">
        <v>693.27</v>
      </c>
      <c r="U41" s="2">
        <v>773.45</v>
      </c>
      <c r="V41" s="2">
        <v>725.82</v>
      </c>
      <c r="W41" s="2">
        <v>791.71</v>
      </c>
      <c r="X41" s="2">
        <v>738.14</v>
      </c>
      <c r="Y41" s="2">
        <v>753.13</v>
      </c>
      <c r="Z41" s="2">
        <v>714.23</v>
      </c>
      <c r="AA41" s="2">
        <v>655.99</v>
      </c>
      <c r="AB41" s="2">
        <v>655.32000000000005</v>
      </c>
      <c r="AC41" s="2">
        <v>654.87</v>
      </c>
      <c r="AD41" s="2">
        <v>654.85</v>
      </c>
      <c r="AE41" s="2">
        <v>652.04</v>
      </c>
      <c r="AF41" s="2">
        <v>670.86</v>
      </c>
      <c r="AI41" s="1" t="s">
        <v>22</v>
      </c>
      <c r="AJ41" s="2">
        <v>6920.76</v>
      </c>
      <c r="AK41" s="2">
        <v>6817.51</v>
      </c>
      <c r="AL41" s="2">
        <v>9935.99</v>
      </c>
      <c r="AM41" s="2">
        <v>8764.64</v>
      </c>
      <c r="AN41" s="2">
        <v>10346.370000000001</v>
      </c>
      <c r="AO41" s="2">
        <v>9132.7000000000007</v>
      </c>
      <c r="AP41" s="2">
        <v>9528.65</v>
      </c>
      <c r="AQ41" s="2">
        <v>8398.85</v>
      </c>
      <c r="AR41" s="2">
        <v>5703.85</v>
      </c>
      <c r="AS41" s="2">
        <v>5607.94</v>
      </c>
      <c r="AT41" s="2">
        <v>5554.19</v>
      </c>
      <c r="AU41" s="2">
        <v>5462.59</v>
      </c>
      <c r="AV41" s="2">
        <v>3120.1</v>
      </c>
      <c r="AW41" s="2">
        <v>2860.84</v>
      </c>
      <c r="AZ41" s="1" t="s">
        <v>22</v>
      </c>
      <c r="BA41" s="2">
        <v>7614.28</v>
      </c>
      <c r="BB41" s="2">
        <v>7510.78</v>
      </c>
      <c r="BC41" s="2">
        <v>10709.44</v>
      </c>
      <c r="BD41" s="2">
        <v>9490.4599999999991</v>
      </c>
      <c r="BE41" s="2">
        <v>11138.08</v>
      </c>
      <c r="BF41" s="2">
        <v>9870.84</v>
      </c>
      <c r="BG41" s="2">
        <v>10281.780000000001</v>
      </c>
      <c r="BH41" s="2">
        <v>9113.08</v>
      </c>
      <c r="BI41" s="2">
        <v>6359.84</v>
      </c>
      <c r="BJ41" s="2">
        <v>6263.26</v>
      </c>
      <c r="BK41" s="2">
        <v>6209.06</v>
      </c>
      <c r="BL41" s="2">
        <v>6117.44</v>
      </c>
      <c r="BM41" s="2">
        <v>3772.14</v>
      </c>
      <c r="BN41" s="2">
        <v>3531.7</v>
      </c>
    </row>
    <row r="42" spans="2:66" x14ac:dyDescent="0.3">
      <c r="B42" s="1" t="s">
        <v>23</v>
      </c>
      <c r="C42" s="2">
        <v>1623.44</v>
      </c>
      <c r="D42" s="2">
        <v>1003.31</v>
      </c>
      <c r="E42" s="2">
        <v>1219.08</v>
      </c>
      <c r="F42" s="2">
        <v>992.31</v>
      </c>
      <c r="G42" s="2">
        <v>2322.73</v>
      </c>
      <c r="H42" s="2">
        <v>1868.31</v>
      </c>
      <c r="I42" s="2">
        <v>1984.25</v>
      </c>
      <c r="J42" s="2">
        <v>1638.47</v>
      </c>
      <c r="K42" s="2">
        <v>2945.61</v>
      </c>
      <c r="L42" s="2">
        <v>1354.62</v>
      </c>
      <c r="M42" s="2">
        <v>3742.51</v>
      </c>
      <c r="N42" s="2">
        <v>1760.83</v>
      </c>
      <c r="O42" s="2">
        <v>2173.1999999999998</v>
      </c>
      <c r="P42" s="2">
        <v>691.67</v>
      </c>
      <c r="R42" s="1" t="s">
        <v>23</v>
      </c>
      <c r="S42" s="2">
        <v>751.39</v>
      </c>
      <c r="T42" s="2">
        <v>724.38</v>
      </c>
      <c r="U42" s="2">
        <v>753.28</v>
      </c>
      <c r="V42" s="2">
        <v>740.18</v>
      </c>
      <c r="W42" s="2">
        <v>767.67</v>
      </c>
      <c r="X42" s="2">
        <v>752.27</v>
      </c>
      <c r="Y42" s="2">
        <v>739.56</v>
      </c>
      <c r="Z42" s="2">
        <v>729.19</v>
      </c>
      <c r="AA42" s="2">
        <v>729.12</v>
      </c>
      <c r="AB42" s="2">
        <v>691.61</v>
      </c>
      <c r="AC42" s="2">
        <v>719.4</v>
      </c>
      <c r="AD42" s="2">
        <v>688.26</v>
      </c>
      <c r="AE42" s="2">
        <v>603.37</v>
      </c>
      <c r="AF42" s="2">
        <v>692.91</v>
      </c>
      <c r="AI42" s="1" t="s">
        <v>23</v>
      </c>
      <c r="AJ42" s="2">
        <v>8867.19</v>
      </c>
      <c r="AK42" s="2">
        <v>7962.02</v>
      </c>
      <c r="AL42" s="2">
        <v>8908.66</v>
      </c>
      <c r="AM42" s="2">
        <v>8535.5</v>
      </c>
      <c r="AN42" s="2">
        <v>9279.5499999999993</v>
      </c>
      <c r="AO42" s="2">
        <v>8894.91</v>
      </c>
      <c r="AP42" s="2">
        <v>8537.1</v>
      </c>
      <c r="AQ42" s="2">
        <v>8174.99</v>
      </c>
      <c r="AR42" s="2">
        <v>6793.48</v>
      </c>
      <c r="AS42" s="2">
        <v>5869.23</v>
      </c>
      <c r="AT42" s="2">
        <v>6626.82</v>
      </c>
      <c r="AU42" s="2">
        <v>5718.86</v>
      </c>
      <c r="AV42" s="2">
        <v>4416.29</v>
      </c>
      <c r="AW42" s="2">
        <v>2913.69</v>
      </c>
      <c r="AZ42" s="1" t="s">
        <v>23</v>
      </c>
      <c r="BA42" s="2">
        <v>9618.58</v>
      </c>
      <c r="BB42" s="2">
        <v>8686.4</v>
      </c>
      <c r="BC42" s="2">
        <v>9661.94</v>
      </c>
      <c r="BD42" s="2">
        <v>9275.68</v>
      </c>
      <c r="BE42" s="2">
        <v>10047.219999999999</v>
      </c>
      <c r="BF42" s="2">
        <v>9647.18</v>
      </c>
      <c r="BG42" s="2">
        <v>9276.66</v>
      </c>
      <c r="BH42" s="2">
        <v>8904.18</v>
      </c>
      <c r="BI42" s="2">
        <v>7522.6</v>
      </c>
      <c r="BJ42" s="2">
        <v>6560.84</v>
      </c>
      <c r="BK42" s="2">
        <v>7346.22</v>
      </c>
      <c r="BL42" s="2">
        <v>6407.12</v>
      </c>
      <c r="BM42" s="2">
        <v>5019.66</v>
      </c>
      <c r="BN42" s="2">
        <v>3606.6</v>
      </c>
    </row>
    <row r="43" spans="2:66" x14ac:dyDescent="0.3">
      <c r="B43" s="1" t="s">
        <v>24</v>
      </c>
      <c r="C43" s="2">
        <v>3166.37</v>
      </c>
      <c r="D43" s="2">
        <v>2308.0500000000002</v>
      </c>
      <c r="E43" s="2">
        <v>3837.04</v>
      </c>
      <c r="F43" s="2">
        <v>3305.87</v>
      </c>
      <c r="G43" s="2">
        <v>7340.26</v>
      </c>
      <c r="H43" s="2">
        <v>6256.35</v>
      </c>
      <c r="I43" s="2">
        <v>6227.73</v>
      </c>
      <c r="J43" s="2">
        <v>5411.71</v>
      </c>
      <c r="K43" s="2">
        <v>8560.5300000000007</v>
      </c>
      <c r="L43" s="2">
        <v>4343.53</v>
      </c>
      <c r="M43" s="2">
        <v>10856.04</v>
      </c>
      <c r="N43" s="2">
        <v>5635.76</v>
      </c>
      <c r="O43" s="2">
        <v>5923.41</v>
      </c>
      <c r="P43" s="2">
        <v>1873.3</v>
      </c>
      <c r="R43" s="1" t="s">
        <v>24</v>
      </c>
      <c r="S43" s="2">
        <v>726.7</v>
      </c>
      <c r="T43" s="2">
        <v>714.58</v>
      </c>
      <c r="U43" s="2">
        <v>756.58</v>
      </c>
      <c r="V43" s="2">
        <v>746.64</v>
      </c>
      <c r="W43" s="2">
        <v>771.6</v>
      </c>
      <c r="X43" s="2">
        <v>759.83</v>
      </c>
      <c r="Y43" s="2">
        <v>742.24</v>
      </c>
      <c r="Z43" s="2">
        <v>734.18</v>
      </c>
      <c r="AA43" s="2">
        <v>727.1</v>
      </c>
      <c r="AB43" s="2">
        <v>693.68</v>
      </c>
      <c r="AC43" s="2">
        <v>717.46</v>
      </c>
      <c r="AD43" s="2">
        <v>689.79</v>
      </c>
      <c r="AE43" s="2">
        <v>605.03</v>
      </c>
      <c r="AF43" s="2">
        <v>706.1</v>
      </c>
      <c r="AI43" s="1" t="s">
        <v>24</v>
      </c>
      <c r="AJ43" s="2">
        <v>8063.14</v>
      </c>
      <c r="AK43" s="2">
        <v>7395.34</v>
      </c>
      <c r="AL43" s="2">
        <v>8994.0400000000009</v>
      </c>
      <c r="AM43" s="2">
        <v>8727.1</v>
      </c>
      <c r="AN43" s="2">
        <v>9370.24</v>
      </c>
      <c r="AO43" s="2">
        <v>9090.31</v>
      </c>
      <c r="AP43" s="2">
        <v>8620.16</v>
      </c>
      <c r="AQ43" s="2">
        <v>8359.18</v>
      </c>
      <c r="AR43" s="2">
        <v>6756.12</v>
      </c>
      <c r="AS43" s="2">
        <v>5950.94</v>
      </c>
      <c r="AT43" s="2">
        <v>6587.36</v>
      </c>
      <c r="AU43" s="2">
        <v>5800.13</v>
      </c>
      <c r="AV43" s="2">
        <v>4322.03</v>
      </c>
      <c r="AW43" s="2">
        <v>2661.04</v>
      </c>
      <c r="AZ43" s="1" t="s">
        <v>24</v>
      </c>
      <c r="BA43" s="2">
        <v>8789.84</v>
      </c>
      <c r="BB43" s="2">
        <v>8109.92</v>
      </c>
      <c r="BC43" s="2">
        <v>9750.6200000000008</v>
      </c>
      <c r="BD43" s="2">
        <v>9473.74</v>
      </c>
      <c r="BE43" s="2">
        <v>10141.84</v>
      </c>
      <c r="BF43" s="2">
        <v>9850.14</v>
      </c>
      <c r="BG43" s="2">
        <v>9362.4</v>
      </c>
      <c r="BH43" s="2">
        <v>9093.36</v>
      </c>
      <c r="BI43" s="2">
        <v>7483.22</v>
      </c>
      <c r="BJ43" s="2">
        <v>6644.62</v>
      </c>
      <c r="BK43" s="2">
        <v>7304.82</v>
      </c>
      <c r="BL43" s="2">
        <v>6489.92</v>
      </c>
      <c r="BM43" s="2">
        <v>4927.0600000000004</v>
      </c>
      <c r="BN43" s="2">
        <v>3367.14</v>
      </c>
    </row>
    <row r="44" spans="2:66" x14ac:dyDescent="0.3">
      <c r="B44" s="1" t="s">
        <v>25</v>
      </c>
      <c r="C44" s="2">
        <v>2153.17</v>
      </c>
      <c r="D44" s="2">
        <v>1073.24</v>
      </c>
      <c r="E44" s="2">
        <v>4061.74</v>
      </c>
      <c r="F44" s="2">
        <v>1489.45</v>
      </c>
      <c r="G44" s="2">
        <v>7787.55</v>
      </c>
      <c r="H44" s="2">
        <v>2616.69</v>
      </c>
      <c r="I44" s="2">
        <v>6561.9</v>
      </c>
      <c r="J44" s="2">
        <v>2647.21</v>
      </c>
      <c r="K44" s="2">
        <v>1575.25</v>
      </c>
      <c r="L44" s="2">
        <v>1324.06</v>
      </c>
      <c r="M44" s="2">
        <v>2173.37</v>
      </c>
      <c r="N44" s="2">
        <v>1857.81</v>
      </c>
      <c r="O44" s="2">
        <v>1772.96</v>
      </c>
      <c r="P44" s="2">
        <v>1376.48</v>
      </c>
      <c r="R44" s="1" t="s">
        <v>25</v>
      </c>
      <c r="S44" s="2">
        <v>712.78</v>
      </c>
      <c r="T44" s="2">
        <v>670.12</v>
      </c>
      <c r="U44" s="2">
        <v>760.61</v>
      </c>
      <c r="V44" s="2">
        <v>711.61</v>
      </c>
      <c r="W44" s="2">
        <v>776.18</v>
      </c>
      <c r="X44" s="2">
        <v>714.55</v>
      </c>
      <c r="Y44" s="2">
        <v>745.45</v>
      </c>
      <c r="Z44" s="2">
        <v>709.79</v>
      </c>
      <c r="AA44" s="2">
        <v>695.33</v>
      </c>
      <c r="AB44" s="2">
        <v>704.26</v>
      </c>
      <c r="AC44" s="2">
        <v>698.1</v>
      </c>
      <c r="AD44" s="2">
        <v>706.95</v>
      </c>
      <c r="AE44" s="2">
        <v>712.94</v>
      </c>
      <c r="AF44" s="2">
        <v>569.16</v>
      </c>
      <c r="AI44" s="1" t="s">
        <v>25</v>
      </c>
      <c r="AJ44" s="2">
        <v>7232.58</v>
      </c>
      <c r="AK44" s="2">
        <v>4467.8</v>
      </c>
      <c r="AL44" s="2">
        <v>9094.49</v>
      </c>
      <c r="AM44" s="2">
        <v>7088.91</v>
      </c>
      <c r="AN44" s="2">
        <v>9473.08</v>
      </c>
      <c r="AO44" s="2">
        <v>7396.35</v>
      </c>
      <c r="AP44" s="2">
        <v>8715.49</v>
      </c>
      <c r="AQ44" s="2">
        <v>6777.35</v>
      </c>
      <c r="AR44" s="2">
        <v>4477.07</v>
      </c>
      <c r="AS44" s="2">
        <v>4096.6400000000003</v>
      </c>
      <c r="AT44" s="2">
        <v>4353.1000000000004</v>
      </c>
      <c r="AU44" s="2">
        <v>3982.61</v>
      </c>
      <c r="AV44" s="2">
        <v>2496.56</v>
      </c>
      <c r="AW44" s="2">
        <v>1897.34</v>
      </c>
      <c r="AZ44" s="1" t="s">
        <v>25</v>
      </c>
      <c r="BA44" s="2">
        <v>7945.36</v>
      </c>
      <c r="BB44" s="2">
        <v>5137.92</v>
      </c>
      <c r="BC44" s="2">
        <v>9855.1</v>
      </c>
      <c r="BD44" s="2">
        <v>7800.52</v>
      </c>
      <c r="BE44" s="2">
        <v>10249.26</v>
      </c>
      <c r="BF44" s="2">
        <v>8110.9</v>
      </c>
      <c r="BG44" s="2">
        <v>9460.94</v>
      </c>
      <c r="BH44" s="2">
        <v>7487.14</v>
      </c>
      <c r="BI44" s="2">
        <v>5172.3999999999996</v>
      </c>
      <c r="BJ44" s="2">
        <v>4800.8999999999996</v>
      </c>
      <c r="BK44" s="2">
        <v>5051.2</v>
      </c>
      <c r="BL44" s="2">
        <v>4689.5600000000004</v>
      </c>
      <c r="BM44" s="2">
        <v>3209.5</v>
      </c>
      <c r="BN44" s="2">
        <v>2466.5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4">
        <f>C37/8</f>
        <v>193.91499999999999</v>
      </c>
      <c r="D51" s="4">
        <f t="shared" ref="D51:P51" si="0">D37/8</f>
        <v>189.345</v>
      </c>
      <c r="E51" s="4">
        <f t="shared" si="0"/>
        <v>213.80250000000001</v>
      </c>
      <c r="F51" s="4">
        <f t="shared" si="0"/>
        <v>218.10374999999999</v>
      </c>
      <c r="G51" s="4">
        <f t="shared" si="0"/>
        <v>343.40125</v>
      </c>
      <c r="H51" s="4">
        <f t="shared" si="0"/>
        <v>350.14125000000001</v>
      </c>
      <c r="I51" s="4">
        <f t="shared" si="0"/>
        <v>410.66374999999999</v>
      </c>
      <c r="J51" s="4">
        <f t="shared" si="0"/>
        <v>419.03750000000002</v>
      </c>
      <c r="K51" s="4">
        <f t="shared" si="0"/>
        <v>189.09</v>
      </c>
      <c r="L51" s="4">
        <f t="shared" si="0"/>
        <v>193.63874999999999</v>
      </c>
      <c r="M51" s="4">
        <f t="shared" si="0"/>
        <v>270.435</v>
      </c>
      <c r="N51" s="4">
        <f t="shared" si="0"/>
        <v>277.56625000000003</v>
      </c>
      <c r="O51" s="4">
        <f t="shared" si="0"/>
        <v>175.47</v>
      </c>
      <c r="P51" s="4">
        <f t="shared" si="0"/>
        <v>218.51374999999999</v>
      </c>
      <c r="R51" s="1" t="s">
        <v>18</v>
      </c>
      <c r="S51" s="2">
        <v>0.18</v>
      </c>
      <c r="T51" s="2">
        <v>0.17</v>
      </c>
      <c r="U51" s="2">
        <v>0.27</v>
      </c>
      <c r="V51" s="2">
        <v>0.28000000000000003</v>
      </c>
      <c r="W51" s="2">
        <v>0.28000000000000003</v>
      </c>
      <c r="X51" s="2">
        <v>0.28999999999999998</v>
      </c>
      <c r="Y51" s="2">
        <v>0.26</v>
      </c>
      <c r="Z51" s="2">
        <v>0.26</v>
      </c>
      <c r="AA51" s="2">
        <v>0.21</v>
      </c>
      <c r="AB51" s="2">
        <v>0.21</v>
      </c>
      <c r="AC51" s="2">
        <v>0.2</v>
      </c>
      <c r="AD51" s="2">
        <v>0.21</v>
      </c>
      <c r="AE51" s="2">
        <v>0.11</v>
      </c>
      <c r="AF51" s="2">
        <v>0.14000000000000001</v>
      </c>
      <c r="AI51" s="1" t="s">
        <v>18</v>
      </c>
      <c r="AJ51" s="2">
        <v>0.18</v>
      </c>
      <c r="AK51" s="2">
        <v>0.17</v>
      </c>
      <c r="AL51" s="2">
        <v>0.27</v>
      </c>
      <c r="AM51" s="2">
        <v>0.28000000000000003</v>
      </c>
      <c r="AN51" s="2">
        <v>0.28000000000000003</v>
      </c>
      <c r="AO51" s="2">
        <v>0.28999999999999998</v>
      </c>
      <c r="AP51" s="2">
        <v>0.26</v>
      </c>
      <c r="AQ51" s="2">
        <v>0.26</v>
      </c>
      <c r="AR51" s="2">
        <v>0.21</v>
      </c>
      <c r="AS51" s="2">
        <v>0.21</v>
      </c>
      <c r="AT51" s="2">
        <v>0.2</v>
      </c>
      <c r="AU51" s="2">
        <v>0.21</v>
      </c>
      <c r="AV51" s="2">
        <v>0.11</v>
      </c>
      <c r="AW51" s="2">
        <v>0.14000000000000001</v>
      </c>
      <c r="AZ51" s="1" t="s">
        <v>18</v>
      </c>
      <c r="BA51" s="2">
        <v>0.21</v>
      </c>
      <c r="BB51" s="2">
        <v>0.2</v>
      </c>
      <c r="BC51" s="2">
        <v>0.31</v>
      </c>
      <c r="BD51" s="2">
        <v>0.32</v>
      </c>
      <c r="BE51" s="2">
        <v>0.32</v>
      </c>
      <c r="BF51" s="2">
        <v>0.33</v>
      </c>
      <c r="BG51" s="2">
        <v>0.3</v>
      </c>
      <c r="BH51" s="2">
        <v>0.3</v>
      </c>
      <c r="BI51" s="2">
        <v>0.25</v>
      </c>
      <c r="BJ51" s="2">
        <v>0.26</v>
      </c>
      <c r="BK51" s="2">
        <v>0.24</v>
      </c>
      <c r="BL51" s="2">
        <v>0.25</v>
      </c>
      <c r="BM51" s="2">
        <v>0.15</v>
      </c>
      <c r="BN51" s="2">
        <v>0.19</v>
      </c>
    </row>
    <row r="52" spans="2:66" x14ac:dyDescent="0.3">
      <c r="B52" s="1" t="s">
        <v>19</v>
      </c>
      <c r="C52" s="4">
        <f>C38</f>
        <v>384.8</v>
      </c>
      <c r="D52" s="4">
        <f t="shared" ref="D52:P52" si="1">D38</f>
        <v>2335.14</v>
      </c>
      <c r="E52" s="4">
        <f t="shared" si="1"/>
        <v>642.61</v>
      </c>
      <c r="F52" s="4">
        <f t="shared" si="1"/>
        <v>8407.49</v>
      </c>
      <c r="G52" s="4">
        <f t="shared" si="1"/>
        <v>1143.3800000000001</v>
      </c>
      <c r="H52" s="4">
        <f t="shared" si="1"/>
        <v>16215.33</v>
      </c>
      <c r="I52" s="4">
        <f t="shared" si="1"/>
        <v>1127.3699999999999</v>
      </c>
      <c r="J52" s="4">
        <f t="shared" si="1"/>
        <v>11093.41</v>
      </c>
      <c r="K52" s="4">
        <f t="shared" si="1"/>
        <v>736.55</v>
      </c>
      <c r="L52" s="4">
        <f t="shared" si="1"/>
        <v>1540.34</v>
      </c>
      <c r="M52" s="4">
        <f t="shared" si="1"/>
        <v>999.91</v>
      </c>
      <c r="N52" s="4">
        <f t="shared" si="1"/>
        <v>2002.25</v>
      </c>
      <c r="O52" s="4">
        <f t="shared" si="1"/>
        <v>380.18</v>
      </c>
      <c r="P52" s="4">
        <f t="shared" si="1"/>
        <v>1669.43</v>
      </c>
      <c r="R52" s="1" t="s">
        <v>19</v>
      </c>
      <c r="S52" s="2">
        <v>0.34</v>
      </c>
      <c r="T52" s="2">
        <v>0.41</v>
      </c>
      <c r="U52" s="2">
        <v>0.39</v>
      </c>
      <c r="V52" s="2">
        <v>0.49</v>
      </c>
      <c r="W52" s="2">
        <v>0.39</v>
      </c>
      <c r="X52" s="2">
        <v>0.61</v>
      </c>
      <c r="Y52" s="2">
        <v>0.38</v>
      </c>
      <c r="Z52" s="2">
        <v>0.65</v>
      </c>
      <c r="AA52" s="2">
        <v>0.37</v>
      </c>
      <c r="AB52" s="2">
        <v>0.36</v>
      </c>
      <c r="AC52" s="2">
        <v>0.37</v>
      </c>
      <c r="AD52" s="2">
        <v>0.36</v>
      </c>
      <c r="AE52" s="2">
        <v>0.24</v>
      </c>
      <c r="AF52" s="2">
        <v>0.32</v>
      </c>
      <c r="AI52" s="1" t="s">
        <v>19</v>
      </c>
      <c r="AJ52" s="2">
        <v>0.34</v>
      </c>
      <c r="AK52" s="2">
        <v>0.77</v>
      </c>
      <c r="AL52" s="2">
        <v>0.61</v>
      </c>
      <c r="AM52" s="2">
        <v>1</v>
      </c>
      <c r="AN52" s="2">
        <v>0.63</v>
      </c>
      <c r="AO52" s="2">
        <v>1.02</v>
      </c>
      <c r="AP52" s="2">
        <v>0.57999999999999996</v>
      </c>
      <c r="AQ52" s="2">
        <v>0.93</v>
      </c>
      <c r="AR52" s="2">
        <v>0.6</v>
      </c>
      <c r="AS52" s="2">
        <v>0.73</v>
      </c>
      <c r="AT52" s="2">
        <v>0.59</v>
      </c>
      <c r="AU52" s="2">
        <v>0.71</v>
      </c>
      <c r="AV52" s="2">
        <v>0.24</v>
      </c>
      <c r="AW52" s="2">
        <v>0.67</v>
      </c>
      <c r="AZ52" s="1" t="s">
        <v>19</v>
      </c>
      <c r="BA52" s="2">
        <v>0.39</v>
      </c>
      <c r="BB52" s="2">
        <v>0.83</v>
      </c>
      <c r="BC52" s="2">
        <v>0.67</v>
      </c>
      <c r="BD52" s="2">
        <v>1.07</v>
      </c>
      <c r="BE52" s="2">
        <v>0.69</v>
      </c>
      <c r="BF52" s="2">
        <v>1.1200000000000001</v>
      </c>
      <c r="BG52" s="2">
        <v>0.64</v>
      </c>
      <c r="BH52" s="2">
        <v>1.03</v>
      </c>
      <c r="BI52" s="2">
        <v>0.69</v>
      </c>
      <c r="BJ52" s="2">
        <v>0.81</v>
      </c>
      <c r="BK52" s="2">
        <v>0.67</v>
      </c>
      <c r="BL52" s="2">
        <v>0.79</v>
      </c>
      <c r="BM52" s="2">
        <v>0.31</v>
      </c>
      <c r="BN52" s="2">
        <v>0.77</v>
      </c>
    </row>
    <row r="53" spans="2:66" x14ac:dyDescent="0.3">
      <c r="B53" s="1" t="s">
        <v>20</v>
      </c>
      <c r="C53" s="4">
        <f>C39/2</f>
        <v>541.84500000000003</v>
      </c>
      <c r="D53" s="4">
        <f t="shared" ref="D53:P53" si="2">D39/2</f>
        <v>3763.47</v>
      </c>
      <c r="E53" s="4">
        <f t="shared" si="2"/>
        <v>1363.91</v>
      </c>
      <c r="F53" s="4">
        <f t="shared" si="2"/>
        <v>4498.43</v>
      </c>
      <c r="G53" s="4">
        <f t="shared" si="2"/>
        <v>2587.58</v>
      </c>
      <c r="H53" s="4">
        <f t="shared" si="2"/>
        <v>8185.875</v>
      </c>
      <c r="I53" s="4">
        <f t="shared" si="2"/>
        <v>2226.89</v>
      </c>
      <c r="J53" s="4">
        <f t="shared" si="2"/>
        <v>7083.2</v>
      </c>
      <c r="K53" s="4">
        <f t="shared" si="2"/>
        <v>1054.605</v>
      </c>
      <c r="L53" s="4">
        <f t="shared" si="2"/>
        <v>490.065</v>
      </c>
      <c r="M53" s="4">
        <f t="shared" si="2"/>
        <v>1395.52</v>
      </c>
      <c r="N53" s="4">
        <f t="shared" si="2"/>
        <v>688.38</v>
      </c>
      <c r="O53" s="4">
        <f t="shared" si="2"/>
        <v>476.52</v>
      </c>
      <c r="P53" s="4">
        <f t="shared" si="2"/>
        <v>1648.86</v>
      </c>
      <c r="R53" s="1" t="s">
        <v>20</v>
      </c>
      <c r="S53" s="2">
        <v>0.39</v>
      </c>
      <c r="T53" s="2">
        <v>0.43</v>
      </c>
      <c r="U53" s="2">
        <v>0.4</v>
      </c>
      <c r="V53" s="2">
        <v>0.52</v>
      </c>
      <c r="W53" s="2">
        <v>0.41</v>
      </c>
      <c r="X53" s="2">
        <v>0.62</v>
      </c>
      <c r="Y53" s="2">
        <v>0.4</v>
      </c>
      <c r="Z53" s="2">
        <v>0.44</v>
      </c>
      <c r="AA53" s="2">
        <v>0.36</v>
      </c>
      <c r="AB53" s="2">
        <v>0.38</v>
      </c>
      <c r="AC53" s="2">
        <v>0.36</v>
      </c>
      <c r="AD53" s="2">
        <v>0.38</v>
      </c>
      <c r="AE53" s="2">
        <v>0.3</v>
      </c>
      <c r="AF53" s="2">
        <v>0.32</v>
      </c>
      <c r="AI53" s="1" t="s">
        <v>20</v>
      </c>
      <c r="AJ53" s="2">
        <v>0.49</v>
      </c>
      <c r="AK53" s="2">
        <v>0.84</v>
      </c>
      <c r="AL53" s="2">
        <v>0.73</v>
      </c>
      <c r="AM53" s="2">
        <v>0.9</v>
      </c>
      <c r="AN53" s="2">
        <v>0.76</v>
      </c>
      <c r="AO53" s="2">
        <v>0.92</v>
      </c>
      <c r="AP53" s="2">
        <v>0.7</v>
      </c>
      <c r="AQ53" s="2">
        <v>0.87</v>
      </c>
      <c r="AR53" s="2">
        <v>0.67</v>
      </c>
      <c r="AS53" s="2">
        <v>0.5</v>
      </c>
      <c r="AT53" s="2">
        <v>0.65</v>
      </c>
      <c r="AU53" s="2">
        <v>0.49</v>
      </c>
      <c r="AV53" s="2">
        <v>0.3</v>
      </c>
      <c r="AW53" s="2">
        <v>0.67</v>
      </c>
      <c r="AZ53" s="1" t="s">
        <v>20</v>
      </c>
      <c r="BA53" s="2">
        <v>0.55000000000000004</v>
      </c>
      <c r="BB53" s="2">
        <v>0.9</v>
      </c>
      <c r="BC53" s="2">
        <v>0.79</v>
      </c>
      <c r="BD53" s="2">
        <v>0.98</v>
      </c>
      <c r="BE53" s="2">
        <v>0.82</v>
      </c>
      <c r="BF53" s="2">
        <v>1.02</v>
      </c>
      <c r="BG53" s="2">
        <v>0.76</v>
      </c>
      <c r="BH53" s="2">
        <v>0.94</v>
      </c>
      <c r="BI53" s="2">
        <v>0.75</v>
      </c>
      <c r="BJ53" s="2">
        <v>0.59</v>
      </c>
      <c r="BK53" s="2">
        <v>0.73</v>
      </c>
      <c r="BL53" s="2">
        <v>0.56999999999999995</v>
      </c>
      <c r="BM53" s="2">
        <v>0.38</v>
      </c>
      <c r="BN53" s="2">
        <v>0.77</v>
      </c>
    </row>
    <row r="54" spans="2:66" x14ac:dyDescent="0.3">
      <c r="B54" s="1" t="s">
        <v>21</v>
      </c>
      <c r="C54" s="4">
        <f>C40</f>
        <v>447.06</v>
      </c>
      <c r="D54" s="4">
        <f t="shared" ref="D54:P54" si="3">D40</f>
        <v>1665.23</v>
      </c>
      <c r="E54" s="4">
        <f t="shared" si="3"/>
        <v>1091.2</v>
      </c>
      <c r="F54" s="4">
        <f t="shared" si="3"/>
        <v>3911.36</v>
      </c>
      <c r="G54" s="4">
        <f t="shared" si="3"/>
        <v>2042.48</v>
      </c>
      <c r="H54" s="4">
        <f t="shared" si="3"/>
        <v>7405.19</v>
      </c>
      <c r="I54" s="4">
        <f t="shared" si="3"/>
        <v>1812.93</v>
      </c>
      <c r="J54" s="4">
        <f t="shared" si="3"/>
        <v>6069.34</v>
      </c>
      <c r="K54" s="4">
        <f t="shared" si="3"/>
        <v>880.95</v>
      </c>
      <c r="L54" s="4">
        <f t="shared" si="3"/>
        <v>596.66</v>
      </c>
      <c r="M54" s="4">
        <f t="shared" si="3"/>
        <v>1179.6400000000001</v>
      </c>
      <c r="N54" s="4">
        <f t="shared" si="3"/>
        <v>823.15</v>
      </c>
      <c r="O54" s="4">
        <f t="shared" si="3"/>
        <v>570.45000000000005</v>
      </c>
      <c r="P54" s="4">
        <f t="shared" si="3"/>
        <v>880.16</v>
      </c>
      <c r="R54" s="1" t="s">
        <v>21</v>
      </c>
      <c r="S54" s="2">
        <v>0.39</v>
      </c>
      <c r="T54" s="2">
        <v>0.4</v>
      </c>
      <c r="U54" s="2">
        <v>0.4</v>
      </c>
      <c r="V54" s="2">
        <v>0.46</v>
      </c>
      <c r="W54" s="2">
        <v>0.4</v>
      </c>
      <c r="X54" s="2">
        <v>0.56000000000000005</v>
      </c>
      <c r="Y54" s="2">
        <v>0.39</v>
      </c>
      <c r="Z54" s="2">
        <v>0.43</v>
      </c>
      <c r="AA54" s="2">
        <v>0.36</v>
      </c>
      <c r="AB54" s="2">
        <v>0.37</v>
      </c>
      <c r="AC54" s="2">
        <v>0.37</v>
      </c>
      <c r="AD54" s="2">
        <v>0.38</v>
      </c>
      <c r="AE54" s="2">
        <v>0.35</v>
      </c>
      <c r="AF54" s="2">
        <v>0.36</v>
      </c>
      <c r="AI54" s="1" t="s">
        <v>21</v>
      </c>
      <c r="AJ54" s="2">
        <v>0.41</v>
      </c>
      <c r="AK54" s="2">
        <v>0.72</v>
      </c>
      <c r="AL54" s="2">
        <v>0.7</v>
      </c>
      <c r="AM54" s="2">
        <v>0.88</v>
      </c>
      <c r="AN54" s="2">
        <v>0.73</v>
      </c>
      <c r="AO54" s="2">
        <v>0.91</v>
      </c>
      <c r="AP54" s="2">
        <v>0.67</v>
      </c>
      <c r="AQ54" s="2">
        <v>0.85</v>
      </c>
      <c r="AR54" s="2">
        <v>0.64</v>
      </c>
      <c r="AS54" s="2">
        <v>0.56000000000000005</v>
      </c>
      <c r="AT54" s="2">
        <v>0.62</v>
      </c>
      <c r="AU54" s="2">
        <v>0.54</v>
      </c>
      <c r="AV54" s="2">
        <v>0.36</v>
      </c>
      <c r="AW54" s="2">
        <v>0.53</v>
      </c>
      <c r="AZ54" s="1" t="s">
        <v>21</v>
      </c>
      <c r="BA54" s="2">
        <v>0.47</v>
      </c>
      <c r="BB54" s="2">
        <v>0.78</v>
      </c>
      <c r="BC54" s="2">
        <v>0.76</v>
      </c>
      <c r="BD54" s="2">
        <v>0.95</v>
      </c>
      <c r="BE54" s="2">
        <v>0.79</v>
      </c>
      <c r="BF54" s="2">
        <v>0.99</v>
      </c>
      <c r="BG54" s="2">
        <v>0.73</v>
      </c>
      <c r="BH54" s="2">
        <v>0.91</v>
      </c>
      <c r="BI54" s="2">
        <v>0.72</v>
      </c>
      <c r="BJ54" s="2">
        <v>0.64</v>
      </c>
      <c r="BK54" s="2">
        <v>0.7</v>
      </c>
      <c r="BL54" s="2">
        <v>0.63</v>
      </c>
      <c r="BM54" s="2">
        <v>0.46</v>
      </c>
      <c r="BN54" s="2">
        <v>0.64</v>
      </c>
    </row>
    <row r="55" spans="2:66" x14ac:dyDescent="0.3">
      <c r="B55" s="1" t="s">
        <v>22</v>
      </c>
      <c r="C55" s="4">
        <f>C41/5</f>
        <v>733.346</v>
      </c>
      <c r="D55" s="4">
        <f t="shared" ref="D55:P55" si="4">D41/5</f>
        <v>705.43799999999999</v>
      </c>
      <c r="E55" s="4">
        <f t="shared" si="4"/>
        <v>2556.616</v>
      </c>
      <c r="F55" s="4">
        <f t="shared" si="4"/>
        <v>1307.578</v>
      </c>
      <c r="G55" s="4">
        <f t="shared" si="4"/>
        <v>4997.2199999999993</v>
      </c>
      <c r="H55" s="4">
        <f t="shared" si="4"/>
        <v>2483.1019999999999</v>
      </c>
      <c r="I55" s="4">
        <f t="shared" si="4"/>
        <v>4026.8519999999999</v>
      </c>
      <c r="J55" s="4">
        <f t="shared" si="4"/>
        <v>2139.7060000000001</v>
      </c>
      <c r="K55" s="4">
        <f t="shared" si="4"/>
        <v>1334.7280000000001</v>
      </c>
      <c r="L55" s="4">
        <f t="shared" si="4"/>
        <v>1238.3139999999999</v>
      </c>
      <c r="M55" s="4">
        <f t="shared" si="4"/>
        <v>1741.75</v>
      </c>
      <c r="N55" s="4">
        <f t="shared" si="4"/>
        <v>1625.1420000000001</v>
      </c>
      <c r="O55" s="4">
        <f t="shared" si="4"/>
        <v>836.8</v>
      </c>
      <c r="P55" s="4">
        <f t="shared" si="4"/>
        <v>736.08999999999992</v>
      </c>
      <c r="R55" s="1" t="s">
        <v>22</v>
      </c>
      <c r="S55" s="2">
        <v>0.39</v>
      </c>
      <c r="T55" s="2">
        <v>0.39</v>
      </c>
      <c r="U55" s="2">
        <v>0.43</v>
      </c>
      <c r="V55" s="2">
        <v>0.4</v>
      </c>
      <c r="W55" s="2">
        <v>0.44</v>
      </c>
      <c r="X55" s="2">
        <v>0.41</v>
      </c>
      <c r="Y55" s="2">
        <v>0.42</v>
      </c>
      <c r="Z55" s="2">
        <v>0.4</v>
      </c>
      <c r="AA55" s="2">
        <v>0.36</v>
      </c>
      <c r="AB55" s="2">
        <v>0.36</v>
      </c>
      <c r="AC55" s="2">
        <v>0.36</v>
      </c>
      <c r="AD55" s="2">
        <v>0.36</v>
      </c>
      <c r="AE55" s="2">
        <v>0.36</v>
      </c>
      <c r="AF55" s="2">
        <v>0.37</v>
      </c>
      <c r="AI55" s="1" t="s">
        <v>22</v>
      </c>
      <c r="AJ55" s="2">
        <v>0.57999999999999996</v>
      </c>
      <c r="AK55" s="2">
        <v>0.56999999999999995</v>
      </c>
      <c r="AL55" s="2">
        <v>0.83</v>
      </c>
      <c r="AM55" s="2">
        <v>0.73</v>
      </c>
      <c r="AN55" s="2">
        <v>0.86</v>
      </c>
      <c r="AO55" s="2">
        <v>0.76</v>
      </c>
      <c r="AP55" s="2">
        <v>0.79</v>
      </c>
      <c r="AQ55" s="2">
        <v>0.7</v>
      </c>
      <c r="AR55" s="2">
        <v>0.71</v>
      </c>
      <c r="AS55" s="2">
        <v>0.7</v>
      </c>
      <c r="AT55" s="2">
        <v>0.69</v>
      </c>
      <c r="AU55" s="2">
        <v>0.68</v>
      </c>
      <c r="AV55" s="2">
        <v>0.52</v>
      </c>
      <c r="AW55" s="2">
        <v>0.48</v>
      </c>
      <c r="AZ55" s="1" t="s">
        <v>22</v>
      </c>
      <c r="BA55" s="2">
        <v>0.63</v>
      </c>
      <c r="BB55" s="2">
        <v>0.63</v>
      </c>
      <c r="BC55" s="2">
        <v>0.89</v>
      </c>
      <c r="BD55" s="2">
        <v>0.79</v>
      </c>
      <c r="BE55" s="2">
        <v>0.93</v>
      </c>
      <c r="BF55" s="2">
        <v>0.82</v>
      </c>
      <c r="BG55" s="2">
        <v>0.86</v>
      </c>
      <c r="BH55" s="2">
        <v>0.76</v>
      </c>
      <c r="BI55" s="2">
        <v>0.79</v>
      </c>
      <c r="BJ55" s="2">
        <v>0.78</v>
      </c>
      <c r="BK55" s="2">
        <v>0.78</v>
      </c>
      <c r="BL55" s="2">
        <v>0.76</v>
      </c>
      <c r="BM55" s="2">
        <v>0.63</v>
      </c>
      <c r="BN55" s="2">
        <v>0.59</v>
      </c>
    </row>
    <row r="56" spans="2:66" x14ac:dyDescent="0.3">
      <c r="B56" s="1" t="s">
        <v>23</v>
      </c>
      <c r="C56" s="4">
        <f>C42</f>
        <v>1623.44</v>
      </c>
      <c r="D56" s="4">
        <f t="shared" ref="D56:P56" si="5">D42</f>
        <v>1003.31</v>
      </c>
      <c r="E56" s="4">
        <f t="shared" si="5"/>
        <v>1219.08</v>
      </c>
      <c r="F56" s="4">
        <f t="shared" si="5"/>
        <v>992.31</v>
      </c>
      <c r="G56" s="4">
        <f t="shared" si="5"/>
        <v>2322.73</v>
      </c>
      <c r="H56" s="4">
        <f t="shared" si="5"/>
        <v>1868.31</v>
      </c>
      <c r="I56" s="4">
        <f t="shared" si="5"/>
        <v>1984.25</v>
      </c>
      <c r="J56" s="4">
        <f t="shared" si="5"/>
        <v>1638.47</v>
      </c>
      <c r="K56" s="4">
        <f t="shared" si="5"/>
        <v>2945.61</v>
      </c>
      <c r="L56" s="4">
        <f t="shared" si="5"/>
        <v>1354.62</v>
      </c>
      <c r="M56" s="4">
        <f t="shared" si="5"/>
        <v>3742.51</v>
      </c>
      <c r="N56" s="4">
        <f t="shared" si="5"/>
        <v>1760.83</v>
      </c>
      <c r="O56" s="4">
        <f t="shared" si="5"/>
        <v>2173.1999999999998</v>
      </c>
      <c r="P56" s="4">
        <f t="shared" si="5"/>
        <v>691.67</v>
      </c>
      <c r="R56" s="1" t="s">
        <v>23</v>
      </c>
      <c r="S56" s="2">
        <v>0.42</v>
      </c>
      <c r="T56" s="2">
        <v>0.4</v>
      </c>
      <c r="U56" s="2">
        <v>0.42</v>
      </c>
      <c r="V56" s="2">
        <v>0.41</v>
      </c>
      <c r="W56" s="2">
        <v>0.43</v>
      </c>
      <c r="X56" s="2">
        <v>0.42</v>
      </c>
      <c r="Y56" s="2">
        <v>0.41</v>
      </c>
      <c r="Z56" s="2">
        <v>0.41</v>
      </c>
      <c r="AA56" s="2">
        <v>0.41</v>
      </c>
      <c r="AB56" s="2">
        <v>0.38</v>
      </c>
      <c r="AC56" s="2">
        <v>0.4</v>
      </c>
      <c r="AD56" s="2">
        <v>0.38</v>
      </c>
      <c r="AE56" s="2">
        <v>0.34</v>
      </c>
      <c r="AF56" s="2">
        <v>0.38</v>
      </c>
      <c r="AI56" s="1" t="s">
        <v>23</v>
      </c>
      <c r="AJ56" s="2">
        <v>0.74</v>
      </c>
      <c r="AK56" s="2">
        <v>0.66</v>
      </c>
      <c r="AL56" s="2">
        <v>0.74</v>
      </c>
      <c r="AM56" s="2">
        <v>0.71</v>
      </c>
      <c r="AN56" s="2">
        <v>0.77</v>
      </c>
      <c r="AO56" s="2">
        <v>0.74</v>
      </c>
      <c r="AP56" s="2">
        <v>0.71</v>
      </c>
      <c r="AQ56" s="2">
        <v>0.68</v>
      </c>
      <c r="AR56" s="2">
        <v>0.85</v>
      </c>
      <c r="AS56" s="2">
        <v>0.73</v>
      </c>
      <c r="AT56" s="2">
        <v>0.83</v>
      </c>
      <c r="AU56" s="2">
        <v>0.71</v>
      </c>
      <c r="AV56" s="2">
        <v>0.74</v>
      </c>
      <c r="AW56" s="2">
        <v>0.49</v>
      </c>
      <c r="AZ56" s="1" t="s">
        <v>23</v>
      </c>
      <c r="BA56" s="2">
        <v>0.8</v>
      </c>
      <c r="BB56" s="2">
        <v>0.72</v>
      </c>
      <c r="BC56" s="2">
        <v>0.81</v>
      </c>
      <c r="BD56" s="2">
        <v>0.77</v>
      </c>
      <c r="BE56" s="2">
        <v>0.84</v>
      </c>
      <c r="BF56" s="2">
        <v>0.8</v>
      </c>
      <c r="BG56" s="2">
        <v>0.77</v>
      </c>
      <c r="BH56" s="2">
        <v>0.74</v>
      </c>
      <c r="BI56" s="2">
        <v>0.94</v>
      </c>
      <c r="BJ56" s="2">
        <v>0.82</v>
      </c>
      <c r="BK56" s="2">
        <v>0.92</v>
      </c>
      <c r="BL56" s="2">
        <v>0.8</v>
      </c>
      <c r="BM56" s="2">
        <v>0.84</v>
      </c>
      <c r="BN56" s="2">
        <v>0.6</v>
      </c>
    </row>
    <row r="57" spans="2:66" x14ac:dyDescent="0.3">
      <c r="B57" s="1" t="s">
        <v>24</v>
      </c>
      <c r="C57" s="4">
        <f>C43/3</f>
        <v>1055.4566666666667</v>
      </c>
      <c r="D57" s="4">
        <f t="shared" ref="D57:P57" si="6">D43/3</f>
        <v>769.35</v>
      </c>
      <c r="E57" s="4">
        <f t="shared" si="6"/>
        <v>1279.0133333333333</v>
      </c>
      <c r="F57" s="4">
        <f t="shared" si="6"/>
        <v>1101.9566666666667</v>
      </c>
      <c r="G57" s="4">
        <f t="shared" si="6"/>
        <v>2446.7533333333336</v>
      </c>
      <c r="H57" s="4">
        <f t="shared" si="6"/>
        <v>2085.4500000000003</v>
      </c>
      <c r="I57" s="4">
        <f t="shared" si="6"/>
        <v>2075.91</v>
      </c>
      <c r="J57" s="4">
        <f t="shared" si="6"/>
        <v>1803.9033333333334</v>
      </c>
      <c r="K57" s="4">
        <f t="shared" si="6"/>
        <v>2853.51</v>
      </c>
      <c r="L57" s="4">
        <f t="shared" si="6"/>
        <v>1447.8433333333332</v>
      </c>
      <c r="M57" s="4">
        <f t="shared" si="6"/>
        <v>3618.6800000000003</v>
      </c>
      <c r="N57" s="4">
        <f t="shared" si="6"/>
        <v>1878.5866666666668</v>
      </c>
      <c r="O57" s="4">
        <f t="shared" si="6"/>
        <v>1974.47</v>
      </c>
      <c r="P57" s="4">
        <f t="shared" si="6"/>
        <v>624.43333333333328</v>
      </c>
      <c r="R57" s="1" t="s">
        <v>24</v>
      </c>
      <c r="S57" s="2">
        <v>0.4</v>
      </c>
      <c r="T57" s="2">
        <v>0.4</v>
      </c>
      <c r="U57" s="2">
        <v>0.42</v>
      </c>
      <c r="V57" s="2">
        <v>0.41</v>
      </c>
      <c r="W57" s="2">
        <v>0.43</v>
      </c>
      <c r="X57" s="2">
        <v>0.42</v>
      </c>
      <c r="Y57" s="2">
        <v>0.41</v>
      </c>
      <c r="Z57" s="2">
        <v>0.41</v>
      </c>
      <c r="AA57" s="2">
        <v>0.4</v>
      </c>
      <c r="AB57" s="2">
        <v>0.39</v>
      </c>
      <c r="AC57" s="2">
        <v>0.4</v>
      </c>
      <c r="AD57" s="2">
        <v>0.38</v>
      </c>
      <c r="AE57" s="2">
        <v>0.34</v>
      </c>
      <c r="AF57" s="2">
        <v>0.39</v>
      </c>
      <c r="AI57" s="1" t="s">
        <v>24</v>
      </c>
      <c r="AJ57" s="2">
        <v>0.67</v>
      </c>
      <c r="AK57" s="2">
        <v>0.62</v>
      </c>
      <c r="AL57" s="2">
        <v>0.75</v>
      </c>
      <c r="AM57" s="2">
        <v>0.73</v>
      </c>
      <c r="AN57" s="2">
        <v>0.78</v>
      </c>
      <c r="AO57" s="2">
        <v>0.76</v>
      </c>
      <c r="AP57" s="2">
        <v>0.72</v>
      </c>
      <c r="AQ57" s="2">
        <v>0.7</v>
      </c>
      <c r="AR57" s="2">
        <v>0.84</v>
      </c>
      <c r="AS57" s="2">
        <v>0.74</v>
      </c>
      <c r="AT57" s="2">
        <v>0.82</v>
      </c>
      <c r="AU57" s="2">
        <v>0.73</v>
      </c>
      <c r="AV57" s="2">
        <v>0.72</v>
      </c>
      <c r="AW57" s="2">
        <v>0.44</v>
      </c>
      <c r="AZ57" s="1" t="s">
        <v>24</v>
      </c>
      <c r="BA57" s="2">
        <v>0.73</v>
      </c>
      <c r="BB57" s="2">
        <v>0.68</v>
      </c>
      <c r="BC57" s="2">
        <v>0.81</v>
      </c>
      <c r="BD57" s="2">
        <v>0.79</v>
      </c>
      <c r="BE57" s="2">
        <v>0.85</v>
      </c>
      <c r="BF57" s="2">
        <v>0.82</v>
      </c>
      <c r="BG57" s="2">
        <v>0.78</v>
      </c>
      <c r="BH57" s="2">
        <v>0.76</v>
      </c>
      <c r="BI57" s="2">
        <v>0.94</v>
      </c>
      <c r="BJ57" s="2">
        <v>0.83</v>
      </c>
      <c r="BK57" s="2">
        <v>0.91</v>
      </c>
      <c r="BL57" s="2">
        <v>0.81</v>
      </c>
      <c r="BM57" s="2">
        <v>0.82</v>
      </c>
      <c r="BN57" s="2">
        <v>0.56000000000000005</v>
      </c>
    </row>
    <row r="58" spans="2:66" x14ac:dyDescent="0.3">
      <c r="B58" s="1" t="s">
        <v>25</v>
      </c>
      <c r="C58" s="4">
        <f>C44/3</f>
        <v>717.72333333333336</v>
      </c>
      <c r="D58" s="4">
        <f t="shared" ref="D58:P58" si="7">D44/3</f>
        <v>357.74666666666667</v>
      </c>
      <c r="E58" s="4">
        <f t="shared" si="7"/>
        <v>1353.9133333333332</v>
      </c>
      <c r="F58" s="4">
        <f t="shared" si="7"/>
        <v>496.48333333333335</v>
      </c>
      <c r="G58" s="4">
        <f t="shared" si="7"/>
        <v>2595.85</v>
      </c>
      <c r="H58" s="4">
        <f t="shared" si="7"/>
        <v>872.23</v>
      </c>
      <c r="I58" s="4">
        <f t="shared" si="7"/>
        <v>2187.2999999999997</v>
      </c>
      <c r="J58" s="4">
        <f t="shared" si="7"/>
        <v>882.40333333333331</v>
      </c>
      <c r="K58" s="4">
        <f t="shared" si="7"/>
        <v>525.08333333333337</v>
      </c>
      <c r="L58" s="4">
        <f t="shared" si="7"/>
        <v>441.3533333333333</v>
      </c>
      <c r="M58" s="4">
        <f t="shared" si="7"/>
        <v>724.45666666666659</v>
      </c>
      <c r="N58" s="4">
        <f t="shared" si="7"/>
        <v>619.27</v>
      </c>
      <c r="O58" s="4">
        <f t="shared" si="7"/>
        <v>590.98666666666668</v>
      </c>
      <c r="P58" s="4">
        <f t="shared" si="7"/>
        <v>458.82666666666665</v>
      </c>
      <c r="R58" s="1" t="s">
        <v>25</v>
      </c>
      <c r="S58" s="2">
        <v>0.4</v>
      </c>
      <c r="T58" s="2">
        <v>0.37</v>
      </c>
      <c r="U58" s="2">
        <v>0.42</v>
      </c>
      <c r="V58" s="2">
        <v>0.4</v>
      </c>
      <c r="W58" s="2">
        <v>0.43</v>
      </c>
      <c r="X58" s="2">
        <v>0.4</v>
      </c>
      <c r="Y58" s="2">
        <v>0.41</v>
      </c>
      <c r="Z58" s="2">
        <v>0.39</v>
      </c>
      <c r="AA58" s="2">
        <v>0.39</v>
      </c>
      <c r="AB58" s="2">
        <v>0.39</v>
      </c>
      <c r="AC58" s="2">
        <v>0.39</v>
      </c>
      <c r="AD58" s="2">
        <v>0.39</v>
      </c>
      <c r="AE58" s="2">
        <v>0.4</v>
      </c>
      <c r="AF58" s="2">
        <v>0.32</v>
      </c>
      <c r="AI58" s="1" t="s">
        <v>25</v>
      </c>
      <c r="AJ58" s="2">
        <v>0.6</v>
      </c>
      <c r="AK58" s="2">
        <v>0.37</v>
      </c>
      <c r="AL58" s="2">
        <v>0.76</v>
      </c>
      <c r="AM58" s="2">
        <v>0.59</v>
      </c>
      <c r="AN58" s="2">
        <v>0.79</v>
      </c>
      <c r="AO58" s="2">
        <v>0.62</v>
      </c>
      <c r="AP58" s="2">
        <v>0.73</v>
      </c>
      <c r="AQ58" s="2">
        <v>0.56000000000000005</v>
      </c>
      <c r="AR58" s="2">
        <v>0.56000000000000005</v>
      </c>
      <c r="AS58" s="2">
        <v>0.51</v>
      </c>
      <c r="AT58" s="2">
        <v>0.54</v>
      </c>
      <c r="AU58" s="2">
        <v>0.5</v>
      </c>
      <c r="AV58" s="2">
        <v>0.42</v>
      </c>
      <c r="AW58" s="2">
        <v>0.32</v>
      </c>
      <c r="AZ58" s="1" t="s">
        <v>25</v>
      </c>
      <c r="BA58" s="2">
        <v>0.66</v>
      </c>
      <c r="BB58" s="2">
        <v>0.43</v>
      </c>
      <c r="BC58" s="2">
        <v>0.82</v>
      </c>
      <c r="BD58" s="2">
        <v>0.65</v>
      </c>
      <c r="BE58" s="2">
        <v>0.85</v>
      </c>
      <c r="BF58" s="2">
        <v>0.68</v>
      </c>
      <c r="BG58" s="2">
        <v>0.79</v>
      </c>
      <c r="BH58" s="2">
        <v>0.62</v>
      </c>
      <c r="BI58" s="2">
        <v>0.65</v>
      </c>
      <c r="BJ58" s="2">
        <v>0.6</v>
      </c>
      <c r="BK58" s="2">
        <v>0.63</v>
      </c>
      <c r="BL58" s="2">
        <v>0.59</v>
      </c>
      <c r="BM58" s="2">
        <v>0.53</v>
      </c>
      <c r="BN58" s="2">
        <v>0.41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599.63</v>
      </c>
      <c r="D65" s="2">
        <v>586.41999999999996</v>
      </c>
      <c r="E65" s="2">
        <v>661.31</v>
      </c>
      <c r="F65" s="2">
        <v>674.57</v>
      </c>
      <c r="G65" s="2">
        <v>1062.93</v>
      </c>
      <c r="H65" s="2">
        <v>1083.25</v>
      </c>
      <c r="I65" s="2">
        <v>1269.26</v>
      </c>
      <c r="J65" s="2">
        <v>1295.93</v>
      </c>
      <c r="K65" s="2">
        <v>585.41999999999996</v>
      </c>
      <c r="L65" s="2">
        <v>598.13</v>
      </c>
      <c r="M65" s="2">
        <v>835.36</v>
      </c>
      <c r="N65" s="2">
        <v>858.64</v>
      </c>
      <c r="O65" s="2">
        <v>543.1</v>
      </c>
      <c r="P65" s="2">
        <v>675.7</v>
      </c>
      <c r="R65" s="1" t="s">
        <v>18</v>
      </c>
      <c r="S65" s="2">
        <v>70</v>
      </c>
      <c r="T65" s="2">
        <v>70</v>
      </c>
      <c r="U65" s="2">
        <v>69.95</v>
      </c>
      <c r="V65" s="2">
        <v>69.94</v>
      </c>
      <c r="W65" s="2">
        <v>69.930000000000007</v>
      </c>
      <c r="X65" s="2">
        <v>69.930000000000007</v>
      </c>
      <c r="Y65" s="2">
        <v>69.959999999999994</v>
      </c>
      <c r="Z65" s="2">
        <v>69.95</v>
      </c>
      <c r="AA65" s="2">
        <v>69.989999999999995</v>
      </c>
      <c r="AB65" s="2">
        <v>69.989999999999995</v>
      </c>
      <c r="AC65" s="2">
        <v>69.989999999999995</v>
      </c>
      <c r="AD65" s="2">
        <v>69.989999999999995</v>
      </c>
      <c r="AE65" s="2">
        <v>70</v>
      </c>
      <c r="AF65" s="2">
        <v>70</v>
      </c>
      <c r="AI65" s="1" t="s">
        <v>18</v>
      </c>
      <c r="AJ65" s="2">
        <v>0.18</v>
      </c>
      <c r="AK65" s="2">
        <v>0.17</v>
      </c>
      <c r="AL65" s="2">
        <v>0.27</v>
      </c>
      <c r="AM65" s="2">
        <v>0.28000000000000003</v>
      </c>
      <c r="AN65" s="2">
        <v>0.28000000000000003</v>
      </c>
      <c r="AO65" s="2">
        <v>0.28999999999999998</v>
      </c>
      <c r="AP65" s="2">
        <v>0.26</v>
      </c>
      <c r="AQ65" s="2">
        <v>0.26</v>
      </c>
      <c r="AR65" s="2">
        <v>0.21</v>
      </c>
      <c r="AS65" s="2">
        <v>0.21</v>
      </c>
      <c r="AT65" s="2">
        <v>0.2</v>
      </c>
      <c r="AU65" s="2">
        <v>0.21</v>
      </c>
      <c r="AV65" s="2">
        <v>0.11</v>
      </c>
      <c r="AW65" s="2">
        <v>0.14000000000000001</v>
      </c>
      <c r="AZ65" s="1" t="s">
        <v>18</v>
      </c>
      <c r="BA65" s="2">
        <v>-0.2</v>
      </c>
      <c r="BB65" s="2">
        <v>-0.2</v>
      </c>
      <c r="BC65" s="2">
        <v>-0.14000000000000001</v>
      </c>
      <c r="BD65" s="2">
        <v>-0.14000000000000001</v>
      </c>
      <c r="BE65" s="2">
        <v>-0.22</v>
      </c>
      <c r="BF65" s="2">
        <v>-0.22</v>
      </c>
      <c r="BG65" s="2">
        <v>-0.28999999999999998</v>
      </c>
      <c r="BH65" s="2">
        <v>-0.28999999999999998</v>
      </c>
      <c r="BI65" s="2">
        <v>-0.2</v>
      </c>
      <c r="BJ65" s="2">
        <v>-0.2</v>
      </c>
      <c r="BK65" s="2">
        <v>-0.28999999999999998</v>
      </c>
      <c r="BL65" s="2">
        <v>-0.28999999999999998</v>
      </c>
      <c r="BM65" s="2">
        <v>-0.37</v>
      </c>
      <c r="BN65" s="2">
        <v>-0.37</v>
      </c>
    </row>
    <row r="66" spans="2:66" x14ac:dyDescent="0.3">
      <c r="B66" s="1" t="s">
        <v>19</v>
      </c>
      <c r="C66" s="2">
        <v>148.93</v>
      </c>
      <c r="D66" s="2">
        <v>906.03</v>
      </c>
      <c r="E66" s="2">
        <v>248.76</v>
      </c>
      <c r="F66" s="2">
        <v>3295.66</v>
      </c>
      <c r="G66" s="2">
        <v>442.76</v>
      </c>
      <c r="H66" s="2">
        <v>6411.51</v>
      </c>
      <c r="I66" s="2">
        <v>436.28</v>
      </c>
      <c r="J66" s="2">
        <v>4345.3500000000004</v>
      </c>
      <c r="K66" s="2">
        <v>284.8</v>
      </c>
      <c r="L66" s="2">
        <v>596.04999999999995</v>
      </c>
      <c r="M66" s="2">
        <v>387.08</v>
      </c>
      <c r="N66" s="2">
        <v>774.96</v>
      </c>
      <c r="O66" s="2">
        <v>147.16999999999999</v>
      </c>
      <c r="P66" s="2">
        <v>645.89</v>
      </c>
      <c r="R66" s="1" t="s">
        <v>19</v>
      </c>
      <c r="S66" s="2">
        <v>69.8</v>
      </c>
      <c r="T66" s="2">
        <v>69.02</v>
      </c>
      <c r="U66" s="2">
        <v>69.41</v>
      </c>
      <c r="V66" s="2">
        <v>67.010000000000005</v>
      </c>
      <c r="W66" s="2">
        <v>69.38</v>
      </c>
      <c r="X66" s="2">
        <v>61.47</v>
      </c>
      <c r="Y66" s="2">
        <v>69.44</v>
      </c>
      <c r="Z66" s="2">
        <v>59.63</v>
      </c>
      <c r="AA66" s="2">
        <v>69.66</v>
      </c>
      <c r="AB66" s="2">
        <v>69.63</v>
      </c>
      <c r="AC66" s="2">
        <v>69.650000000000006</v>
      </c>
      <c r="AD66" s="2">
        <v>69.64</v>
      </c>
      <c r="AE66" s="2">
        <v>69.98</v>
      </c>
      <c r="AF66" s="2">
        <v>69.86</v>
      </c>
      <c r="AI66" s="1" t="s">
        <v>19</v>
      </c>
      <c r="AJ66" s="2">
        <v>0.34</v>
      </c>
      <c r="AK66" s="2">
        <v>0.77</v>
      </c>
      <c r="AL66" s="2">
        <v>0.61</v>
      </c>
      <c r="AM66" s="2">
        <v>1</v>
      </c>
      <c r="AN66" s="2">
        <v>0.63</v>
      </c>
      <c r="AO66" s="2">
        <v>1.02</v>
      </c>
      <c r="AP66" s="2">
        <v>0.57999999999999996</v>
      </c>
      <c r="AQ66" s="2">
        <v>0.93</v>
      </c>
      <c r="AR66" s="2">
        <v>0.6</v>
      </c>
      <c r="AS66" s="2">
        <v>0.73</v>
      </c>
      <c r="AT66" s="2">
        <v>0.59</v>
      </c>
      <c r="AU66" s="2">
        <v>0.71</v>
      </c>
      <c r="AV66" s="2">
        <v>0.24</v>
      </c>
      <c r="AW66" s="2">
        <v>0.67</v>
      </c>
      <c r="AZ66" s="1" t="s">
        <v>19</v>
      </c>
      <c r="BA66" s="2">
        <v>-0.19</v>
      </c>
      <c r="BB66" s="2">
        <v>-0.78</v>
      </c>
      <c r="BC66" s="2">
        <v>-0.24</v>
      </c>
      <c r="BD66" s="2">
        <v>-2.29</v>
      </c>
      <c r="BE66" s="2">
        <v>-0.42</v>
      </c>
      <c r="BF66" s="2">
        <v>-3.82</v>
      </c>
      <c r="BG66" s="2">
        <v>-0.43</v>
      </c>
      <c r="BH66" s="2">
        <v>-2.59</v>
      </c>
      <c r="BI66" s="2">
        <v>-0.33</v>
      </c>
      <c r="BJ66" s="2">
        <v>-0.65</v>
      </c>
      <c r="BK66" s="2">
        <v>-0.46</v>
      </c>
      <c r="BL66" s="2">
        <v>-0.86</v>
      </c>
      <c r="BM66" s="2">
        <v>-0.37</v>
      </c>
      <c r="BN66" s="2">
        <v>-0.88</v>
      </c>
    </row>
    <row r="67" spans="2:66" x14ac:dyDescent="0.3">
      <c r="B67" s="1" t="s">
        <v>20</v>
      </c>
      <c r="C67" s="2">
        <v>419.21</v>
      </c>
      <c r="D67" s="2">
        <v>2927.45</v>
      </c>
      <c r="E67" s="2">
        <v>1057.2</v>
      </c>
      <c r="F67" s="2">
        <v>3501.58</v>
      </c>
      <c r="G67" s="2">
        <v>2008.07</v>
      </c>
      <c r="H67" s="2">
        <v>6396.15</v>
      </c>
      <c r="I67" s="2">
        <v>1727.5</v>
      </c>
      <c r="J67" s="2">
        <v>5539.68</v>
      </c>
      <c r="K67" s="2">
        <v>815.87</v>
      </c>
      <c r="L67" s="2">
        <v>378.97</v>
      </c>
      <c r="M67" s="2">
        <v>1079.75</v>
      </c>
      <c r="N67" s="2">
        <v>532.46</v>
      </c>
      <c r="O67" s="2">
        <v>369.12</v>
      </c>
      <c r="P67" s="2">
        <v>1276.29</v>
      </c>
      <c r="R67" s="1" t="s">
        <v>20</v>
      </c>
      <c r="S67" s="2">
        <v>69.489999999999995</v>
      </c>
      <c r="T67" s="2">
        <v>68.650000000000006</v>
      </c>
      <c r="U67" s="2">
        <v>69.14</v>
      </c>
      <c r="V67" s="2">
        <v>66.22</v>
      </c>
      <c r="W67" s="2">
        <v>69.03</v>
      </c>
      <c r="X67" s="2">
        <v>61.63</v>
      </c>
      <c r="Y67" s="2">
        <v>69.239999999999995</v>
      </c>
      <c r="Z67" s="2">
        <v>68.42</v>
      </c>
      <c r="AA67" s="2">
        <v>69.66</v>
      </c>
      <c r="AB67" s="2">
        <v>69.62</v>
      </c>
      <c r="AC67" s="2">
        <v>69.66</v>
      </c>
      <c r="AD67" s="2">
        <v>69.62</v>
      </c>
      <c r="AE67" s="2">
        <v>69.930000000000007</v>
      </c>
      <c r="AF67" s="2">
        <v>69.86</v>
      </c>
      <c r="AI67" s="1" t="s">
        <v>20</v>
      </c>
      <c r="AJ67" s="2">
        <v>0.49</v>
      </c>
      <c r="AK67" s="2">
        <v>0.84</v>
      </c>
      <c r="AL67" s="2">
        <v>0.73</v>
      </c>
      <c r="AM67" s="2">
        <v>0.9</v>
      </c>
      <c r="AN67" s="2">
        <v>0.76</v>
      </c>
      <c r="AO67" s="2">
        <v>0.92</v>
      </c>
      <c r="AP67" s="2">
        <v>0.7</v>
      </c>
      <c r="AQ67" s="2">
        <v>0.87</v>
      </c>
      <c r="AR67" s="2">
        <v>0.67</v>
      </c>
      <c r="AS67" s="2">
        <v>0.5</v>
      </c>
      <c r="AT67" s="2">
        <v>0.65</v>
      </c>
      <c r="AU67" s="2">
        <v>0.49</v>
      </c>
      <c r="AV67" s="2">
        <v>0.3</v>
      </c>
      <c r="AW67" s="2">
        <v>0.67</v>
      </c>
      <c r="AZ67" s="1" t="s">
        <v>20</v>
      </c>
      <c r="BA67" s="2">
        <v>-0.22</v>
      </c>
      <c r="BB67" s="2">
        <v>-1.18</v>
      </c>
      <c r="BC67" s="2">
        <v>-0.47</v>
      </c>
      <c r="BD67" s="2">
        <v>-1.21</v>
      </c>
      <c r="BE67" s="2">
        <v>-0.86</v>
      </c>
      <c r="BF67" s="2">
        <v>-1.97</v>
      </c>
      <c r="BG67" s="2">
        <v>-0.78</v>
      </c>
      <c r="BH67" s="2">
        <v>-2.16</v>
      </c>
      <c r="BI67" s="2">
        <v>-0.46</v>
      </c>
      <c r="BJ67" s="2">
        <v>-0.23</v>
      </c>
      <c r="BK67" s="2">
        <v>-0.62</v>
      </c>
      <c r="BL67" s="2">
        <v>-0.33</v>
      </c>
      <c r="BM67" s="2">
        <v>-0.37</v>
      </c>
      <c r="BN67" s="2">
        <v>-0.87</v>
      </c>
    </row>
    <row r="68" spans="2:66" x14ac:dyDescent="0.3">
      <c r="B68" s="1" t="s">
        <v>21</v>
      </c>
      <c r="C68" s="2">
        <v>172.99</v>
      </c>
      <c r="D68" s="2">
        <v>645.5</v>
      </c>
      <c r="E68" s="2">
        <v>422.51</v>
      </c>
      <c r="F68" s="2">
        <v>1521.88</v>
      </c>
      <c r="G68" s="2">
        <v>791.69</v>
      </c>
      <c r="H68" s="2">
        <v>2892.24</v>
      </c>
      <c r="I68" s="2">
        <v>702.7</v>
      </c>
      <c r="J68" s="2">
        <v>2368.89</v>
      </c>
      <c r="K68" s="2">
        <v>340.75</v>
      </c>
      <c r="L68" s="2">
        <v>230.86</v>
      </c>
      <c r="M68" s="2">
        <v>456.6</v>
      </c>
      <c r="N68" s="2">
        <v>318.52</v>
      </c>
      <c r="O68" s="2">
        <v>220.35</v>
      </c>
      <c r="P68" s="2">
        <v>340.5</v>
      </c>
      <c r="R68" s="1" t="s">
        <v>21</v>
      </c>
      <c r="S68" s="2">
        <v>69.52</v>
      </c>
      <c r="T68" s="2">
        <v>69.2</v>
      </c>
      <c r="U68" s="2">
        <v>69.239999999999995</v>
      </c>
      <c r="V68" s="2">
        <v>68.12</v>
      </c>
      <c r="W68" s="2">
        <v>69.16</v>
      </c>
      <c r="X68" s="2">
        <v>64.849999999999994</v>
      </c>
      <c r="Y68" s="2">
        <v>69.319999999999993</v>
      </c>
      <c r="Z68" s="2">
        <v>68.58</v>
      </c>
      <c r="AA68" s="2">
        <v>69.66</v>
      </c>
      <c r="AB68" s="2">
        <v>69.64</v>
      </c>
      <c r="AC68" s="2">
        <v>69.66</v>
      </c>
      <c r="AD68" s="2">
        <v>69.64</v>
      </c>
      <c r="AE68" s="2">
        <v>69.8</v>
      </c>
      <c r="AF68" s="2">
        <v>69.75</v>
      </c>
      <c r="AI68" s="1" t="s">
        <v>21</v>
      </c>
      <c r="AJ68" s="2">
        <v>0.41</v>
      </c>
      <c r="AK68" s="2">
        <v>0.72</v>
      </c>
      <c r="AL68" s="2">
        <v>0.7</v>
      </c>
      <c r="AM68" s="2">
        <v>0.88</v>
      </c>
      <c r="AN68" s="2">
        <v>0.73</v>
      </c>
      <c r="AO68" s="2">
        <v>0.91</v>
      </c>
      <c r="AP68" s="2">
        <v>0.67</v>
      </c>
      <c r="AQ68" s="2">
        <v>0.85</v>
      </c>
      <c r="AR68" s="2">
        <v>0.64</v>
      </c>
      <c r="AS68" s="2">
        <v>0.56000000000000005</v>
      </c>
      <c r="AT68" s="2">
        <v>0.62</v>
      </c>
      <c r="AU68" s="2">
        <v>0.54</v>
      </c>
      <c r="AV68" s="2">
        <v>0.36</v>
      </c>
      <c r="AW68" s="2">
        <v>0.53</v>
      </c>
      <c r="AZ68" s="1" t="s">
        <v>21</v>
      </c>
      <c r="BA68" s="2">
        <v>-0.19</v>
      </c>
      <c r="BB68" s="2">
        <v>-0.57999999999999996</v>
      </c>
      <c r="BC68" s="2">
        <v>-0.38</v>
      </c>
      <c r="BD68" s="2">
        <v>-1.1599999999999999</v>
      </c>
      <c r="BE68" s="2">
        <v>-0.7</v>
      </c>
      <c r="BF68" s="2">
        <v>-1.92</v>
      </c>
      <c r="BG68" s="2">
        <v>-0.65</v>
      </c>
      <c r="BH68" s="2">
        <v>-1.89</v>
      </c>
      <c r="BI68" s="2">
        <v>-0.39</v>
      </c>
      <c r="BJ68" s="2">
        <v>-0.28000000000000003</v>
      </c>
      <c r="BK68" s="2">
        <v>-0.53</v>
      </c>
      <c r="BL68" s="2">
        <v>-0.38</v>
      </c>
      <c r="BM68" s="2">
        <v>-0.37</v>
      </c>
      <c r="BN68" s="2">
        <v>-0.48</v>
      </c>
    </row>
    <row r="69" spans="2:66" x14ac:dyDescent="0.3">
      <c r="B69" s="1" t="s">
        <v>22</v>
      </c>
      <c r="C69" s="2">
        <v>1419.47</v>
      </c>
      <c r="D69" s="2">
        <v>1364.51</v>
      </c>
      <c r="E69" s="2">
        <v>4962.76</v>
      </c>
      <c r="F69" s="2">
        <v>2531.8200000000002</v>
      </c>
      <c r="G69" s="2">
        <v>9735.9500000000007</v>
      </c>
      <c r="H69" s="2">
        <v>4817.09</v>
      </c>
      <c r="I69" s="2">
        <v>7833.22</v>
      </c>
      <c r="J69" s="2">
        <v>4149.13</v>
      </c>
      <c r="K69" s="2">
        <v>2583.54</v>
      </c>
      <c r="L69" s="2">
        <v>2396.12</v>
      </c>
      <c r="M69" s="2">
        <v>3371.12</v>
      </c>
      <c r="N69" s="2">
        <v>3146.89</v>
      </c>
      <c r="O69" s="2">
        <v>1617.77</v>
      </c>
      <c r="P69" s="2">
        <v>1422.95</v>
      </c>
      <c r="R69" s="1" t="s">
        <v>22</v>
      </c>
      <c r="S69" s="2">
        <v>69.44</v>
      </c>
      <c r="T69" s="2">
        <v>69.45</v>
      </c>
      <c r="U69" s="2">
        <v>68.680000000000007</v>
      </c>
      <c r="V69" s="2">
        <v>69.14</v>
      </c>
      <c r="W69" s="2">
        <v>68.459999999999994</v>
      </c>
      <c r="X69" s="2">
        <v>69.03</v>
      </c>
      <c r="Y69" s="2">
        <v>68.88</v>
      </c>
      <c r="Z69" s="2">
        <v>69.239999999999995</v>
      </c>
      <c r="AA69" s="2">
        <v>69.64</v>
      </c>
      <c r="AB69" s="2">
        <v>69.64</v>
      </c>
      <c r="AC69" s="2">
        <v>69.64</v>
      </c>
      <c r="AD69" s="2">
        <v>69.650000000000006</v>
      </c>
      <c r="AE69" s="2">
        <v>69.739999999999995</v>
      </c>
      <c r="AF69" s="2">
        <v>69.709999999999994</v>
      </c>
      <c r="AI69" s="1" t="s">
        <v>22</v>
      </c>
      <c r="AJ69" s="2">
        <v>0.57999999999999996</v>
      </c>
      <c r="AK69" s="2">
        <v>0.56999999999999995</v>
      </c>
      <c r="AL69" s="2">
        <v>0.83</v>
      </c>
      <c r="AM69" s="2">
        <v>0.73</v>
      </c>
      <c r="AN69" s="2">
        <v>0.86</v>
      </c>
      <c r="AO69" s="2">
        <v>0.76</v>
      </c>
      <c r="AP69" s="2">
        <v>0.79</v>
      </c>
      <c r="AQ69" s="2">
        <v>0.7</v>
      </c>
      <c r="AR69" s="2">
        <v>0.71</v>
      </c>
      <c r="AS69" s="2">
        <v>0.7</v>
      </c>
      <c r="AT69" s="2">
        <v>0.69</v>
      </c>
      <c r="AU69" s="2">
        <v>0.68</v>
      </c>
      <c r="AV69" s="2">
        <v>0.52</v>
      </c>
      <c r="AW69" s="2">
        <v>0.48</v>
      </c>
      <c r="AZ69" s="1" t="s">
        <v>22</v>
      </c>
      <c r="BA69" s="2">
        <v>-0.28999999999999998</v>
      </c>
      <c r="BB69" s="2">
        <v>-0.28000000000000003</v>
      </c>
      <c r="BC69" s="2">
        <v>-0.83</v>
      </c>
      <c r="BD69" s="2">
        <v>-0.46</v>
      </c>
      <c r="BE69" s="2">
        <v>-1.58</v>
      </c>
      <c r="BF69" s="2">
        <v>-0.85</v>
      </c>
      <c r="BG69" s="2">
        <v>-1.35</v>
      </c>
      <c r="BH69" s="2">
        <v>-0.77</v>
      </c>
      <c r="BI69" s="2">
        <v>-0.59</v>
      </c>
      <c r="BJ69" s="2">
        <v>-0.55000000000000004</v>
      </c>
      <c r="BK69" s="2">
        <v>-0.77</v>
      </c>
      <c r="BL69" s="2">
        <v>-0.73</v>
      </c>
      <c r="BM69" s="2">
        <v>-0.47</v>
      </c>
      <c r="BN69" s="2">
        <v>-0.42</v>
      </c>
    </row>
    <row r="70" spans="2:66" x14ac:dyDescent="0.3">
      <c r="B70" s="1" t="s">
        <v>23</v>
      </c>
      <c r="C70" s="2">
        <v>629.19000000000005</v>
      </c>
      <c r="D70" s="2">
        <v>388.56</v>
      </c>
      <c r="E70" s="2">
        <v>472.22</v>
      </c>
      <c r="F70" s="2">
        <v>384.36</v>
      </c>
      <c r="G70" s="2">
        <v>901.03</v>
      </c>
      <c r="H70" s="2">
        <v>724.6</v>
      </c>
      <c r="I70" s="2">
        <v>769.53</v>
      </c>
      <c r="J70" s="2">
        <v>635.12</v>
      </c>
      <c r="K70" s="2">
        <v>1141.6500000000001</v>
      </c>
      <c r="L70" s="2">
        <v>524.16</v>
      </c>
      <c r="M70" s="2">
        <v>1451.65</v>
      </c>
      <c r="N70" s="2">
        <v>681.56</v>
      </c>
      <c r="O70" s="2">
        <v>840.99</v>
      </c>
      <c r="P70" s="2">
        <v>267.52</v>
      </c>
      <c r="R70" s="1" t="s">
        <v>23</v>
      </c>
      <c r="S70" s="2">
        <v>68.97</v>
      </c>
      <c r="T70" s="2">
        <v>69.22</v>
      </c>
      <c r="U70" s="2">
        <v>68.95</v>
      </c>
      <c r="V70" s="2">
        <v>69.069999999999993</v>
      </c>
      <c r="W70" s="2">
        <v>68.8</v>
      </c>
      <c r="X70" s="2">
        <v>68.959999999999994</v>
      </c>
      <c r="Y70" s="2">
        <v>69.08</v>
      </c>
      <c r="Z70" s="2">
        <v>69.17</v>
      </c>
      <c r="AA70" s="2">
        <v>69.28</v>
      </c>
      <c r="AB70" s="2">
        <v>69.510000000000005</v>
      </c>
      <c r="AC70" s="2">
        <v>69.34</v>
      </c>
      <c r="AD70" s="2">
        <v>69.53</v>
      </c>
      <c r="AE70" s="2">
        <v>69.8</v>
      </c>
      <c r="AF70" s="2">
        <v>69.650000000000006</v>
      </c>
      <c r="AI70" s="1" t="s">
        <v>23</v>
      </c>
      <c r="AJ70" s="2">
        <v>0.74</v>
      </c>
      <c r="AK70" s="2">
        <v>0.66</v>
      </c>
      <c r="AL70" s="2">
        <v>0.74</v>
      </c>
      <c r="AM70" s="2">
        <v>0.71</v>
      </c>
      <c r="AN70" s="2">
        <v>0.77</v>
      </c>
      <c r="AO70" s="2">
        <v>0.74</v>
      </c>
      <c r="AP70" s="2">
        <v>0.71</v>
      </c>
      <c r="AQ70" s="2">
        <v>0.68</v>
      </c>
      <c r="AR70" s="2">
        <v>0.85</v>
      </c>
      <c r="AS70" s="2">
        <v>0.73</v>
      </c>
      <c r="AT70" s="2">
        <v>0.83</v>
      </c>
      <c r="AU70" s="2">
        <v>0.71</v>
      </c>
      <c r="AV70" s="2">
        <v>0.74</v>
      </c>
      <c r="AW70" s="2">
        <v>0.49</v>
      </c>
      <c r="AZ70" s="1" t="s">
        <v>23</v>
      </c>
      <c r="BA70" s="2">
        <v>-0.66</v>
      </c>
      <c r="BB70" s="2">
        <v>-0.43</v>
      </c>
      <c r="BC70" s="2">
        <v>-0.49</v>
      </c>
      <c r="BD70" s="2">
        <v>-0.41</v>
      </c>
      <c r="BE70" s="2">
        <v>-0.91</v>
      </c>
      <c r="BF70" s="2">
        <v>-0.75</v>
      </c>
      <c r="BG70" s="2">
        <v>-0.82</v>
      </c>
      <c r="BH70" s="2">
        <v>-0.69</v>
      </c>
      <c r="BI70" s="2">
        <v>-1.32</v>
      </c>
      <c r="BJ70" s="2">
        <v>-0.66</v>
      </c>
      <c r="BK70" s="2">
        <v>-1.7</v>
      </c>
      <c r="BL70" s="2">
        <v>-0.86</v>
      </c>
      <c r="BM70" s="2">
        <v>-1.26</v>
      </c>
      <c r="BN70" s="2">
        <v>-0.42</v>
      </c>
    </row>
    <row r="71" spans="2:66" x14ac:dyDescent="0.3">
      <c r="B71" s="1" t="s">
        <v>24</v>
      </c>
      <c r="C71" s="2">
        <v>1225.77</v>
      </c>
      <c r="D71" s="2">
        <v>893.27</v>
      </c>
      <c r="E71" s="2">
        <v>1486.31</v>
      </c>
      <c r="F71" s="2">
        <v>1280.58</v>
      </c>
      <c r="G71" s="2">
        <v>2848.93</v>
      </c>
      <c r="H71" s="2">
        <v>2426.04</v>
      </c>
      <c r="I71" s="2">
        <v>2415.9699999999998</v>
      </c>
      <c r="J71" s="2">
        <v>2097.66</v>
      </c>
      <c r="K71" s="2">
        <v>3320</v>
      </c>
      <c r="L71" s="2">
        <v>1681.63</v>
      </c>
      <c r="M71" s="2">
        <v>4209.21</v>
      </c>
      <c r="N71" s="2">
        <v>2182.9899999999998</v>
      </c>
      <c r="O71" s="2">
        <v>2293.88</v>
      </c>
      <c r="P71" s="2">
        <v>724.35</v>
      </c>
      <c r="R71" s="1" t="s">
        <v>24</v>
      </c>
      <c r="S71" s="2">
        <v>69.19</v>
      </c>
      <c r="T71" s="2">
        <v>69.31</v>
      </c>
      <c r="U71" s="2">
        <v>68.92</v>
      </c>
      <c r="V71" s="2">
        <v>69.010000000000005</v>
      </c>
      <c r="W71" s="2">
        <v>68.760000000000005</v>
      </c>
      <c r="X71" s="2">
        <v>68.88</v>
      </c>
      <c r="Y71" s="2">
        <v>69.05</v>
      </c>
      <c r="Z71" s="2">
        <v>69.13</v>
      </c>
      <c r="AA71" s="2">
        <v>69.3</v>
      </c>
      <c r="AB71" s="2">
        <v>69.5</v>
      </c>
      <c r="AC71" s="2">
        <v>69.349999999999994</v>
      </c>
      <c r="AD71" s="2">
        <v>69.52</v>
      </c>
      <c r="AE71" s="2">
        <v>69.8</v>
      </c>
      <c r="AF71" s="2">
        <v>69.62</v>
      </c>
      <c r="AI71" s="1" t="s">
        <v>24</v>
      </c>
      <c r="AJ71" s="2">
        <v>0.67</v>
      </c>
      <c r="AK71" s="2">
        <v>0.62</v>
      </c>
      <c r="AL71" s="2">
        <v>0.75</v>
      </c>
      <c r="AM71" s="2">
        <v>0.73</v>
      </c>
      <c r="AN71" s="2">
        <v>0.78</v>
      </c>
      <c r="AO71" s="2">
        <v>0.76</v>
      </c>
      <c r="AP71" s="2">
        <v>0.72</v>
      </c>
      <c r="AQ71" s="2">
        <v>0.7</v>
      </c>
      <c r="AR71" s="2">
        <v>0.84</v>
      </c>
      <c r="AS71" s="2">
        <v>0.74</v>
      </c>
      <c r="AT71" s="2">
        <v>0.82</v>
      </c>
      <c r="AU71" s="2">
        <v>0.73</v>
      </c>
      <c r="AV71" s="2">
        <v>0.72</v>
      </c>
      <c r="AW71" s="2">
        <v>0.44</v>
      </c>
      <c r="AZ71" s="1" t="s">
        <v>24</v>
      </c>
      <c r="BA71" s="2">
        <v>-0.45</v>
      </c>
      <c r="BB71" s="2">
        <v>-0.34</v>
      </c>
      <c r="BC71" s="2">
        <v>-0.51</v>
      </c>
      <c r="BD71" s="2">
        <v>-0.45</v>
      </c>
      <c r="BE71" s="2">
        <v>-0.95</v>
      </c>
      <c r="BF71" s="2">
        <v>-0.83</v>
      </c>
      <c r="BG71" s="2">
        <v>-0.85</v>
      </c>
      <c r="BH71" s="2">
        <v>-0.75</v>
      </c>
      <c r="BI71" s="2">
        <v>-1.28</v>
      </c>
      <c r="BJ71" s="2">
        <v>-0.7</v>
      </c>
      <c r="BK71" s="2">
        <v>-1.65</v>
      </c>
      <c r="BL71" s="2">
        <v>-0.92</v>
      </c>
      <c r="BM71" s="2">
        <v>-1.1499999999999999</v>
      </c>
      <c r="BN71" s="2">
        <v>-0.39</v>
      </c>
    </row>
    <row r="72" spans="2:66" x14ac:dyDescent="0.3">
      <c r="B72" s="1" t="s">
        <v>25</v>
      </c>
      <c r="C72" s="2">
        <v>833.31</v>
      </c>
      <c r="D72" s="2">
        <v>414.98</v>
      </c>
      <c r="E72" s="2">
        <v>1574.2</v>
      </c>
      <c r="F72" s="2">
        <v>576.47</v>
      </c>
      <c r="G72" s="2">
        <v>3023.76</v>
      </c>
      <c r="H72" s="2">
        <v>1012.73</v>
      </c>
      <c r="I72" s="2">
        <v>2546.0300000000002</v>
      </c>
      <c r="J72" s="2">
        <v>1024.49</v>
      </c>
      <c r="K72" s="2">
        <v>609.04</v>
      </c>
      <c r="L72" s="2">
        <v>511.85</v>
      </c>
      <c r="M72" s="2">
        <v>840.47</v>
      </c>
      <c r="N72" s="2">
        <v>718.48</v>
      </c>
      <c r="O72" s="2">
        <v>686.36</v>
      </c>
      <c r="P72" s="2">
        <v>532.97</v>
      </c>
      <c r="R72" s="1" t="s">
        <v>25</v>
      </c>
      <c r="S72" s="2">
        <v>69.33</v>
      </c>
      <c r="T72" s="2">
        <v>69.650000000000006</v>
      </c>
      <c r="U72" s="2">
        <v>68.88</v>
      </c>
      <c r="V72" s="2">
        <v>69.349999999999994</v>
      </c>
      <c r="W72" s="2">
        <v>68.709999999999994</v>
      </c>
      <c r="X72" s="2">
        <v>69.31</v>
      </c>
      <c r="Y72" s="2">
        <v>69.02</v>
      </c>
      <c r="Z72" s="2">
        <v>69.38</v>
      </c>
      <c r="AA72" s="2">
        <v>69.569999999999993</v>
      </c>
      <c r="AB72" s="2">
        <v>69.56</v>
      </c>
      <c r="AC72" s="2">
        <v>69.56</v>
      </c>
      <c r="AD72" s="2">
        <v>69.55</v>
      </c>
      <c r="AE72" s="2">
        <v>69.599999999999994</v>
      </c>
      <c r="AF72" s="2">
        <v>69.900000000000006</v>
      </c>
      <c r="AI72" s="1" t="s">
        <v>25</v>
      </c>
      <c r="AJ72" s="2">
        <v>0.6</v>
      </c>
      <c r="AK72" s="2">
        <v>0.37</v>
      </c>
      <c r="AL72" s="2">
        <v>0.76</v>
      </c>
      <c r="AM72" s="2">
        <v>0.59</v>
      </c>
      <c r="AN72" s="2">
        <v>0.79</v>
      </c>
      <c r="AO72" s="2">
        <v>0.62</v>
      </c>
      <c r="AP72" s="2">
        <v>0.73</v>
      </c>
      <c r="AQ72" s="2">
        <v>0.56000000000000005</v>
      </c>
      <c r="AR72" s="2">
        <v>0.56000000000000005</v>
      </c>
      <c r="AS72" s="2">
        <v>0.51</v>
      </c>
      <c r="AT72" s="2">
        <v>0.54</v>
      </c>
      <c r="AU72" s="2">
        <v>0.5</v>
      </c>
      <c r="AV72" s="2">
        <v>0.42</v>
      </c>
      <c r="AW72" s="2">
        <v>0.32</v>
      </c>
      <c r="AZ72" s="1" t="s">
        <v>25</v>
      </c>
      <c r="BA72" s="2">
        <v>-0.32</v>
      </c>
      <c r="BB72" s="2">
        <v>-0.19</v>
      </c>
      <c r="BC72" s="2">
        <v>-0.54</v>
      </c>
      <c r="BD72" s="2">
        <v>-0.22</v>
      </c>
      <c r="BE72" s="2">
        <v>-1.01</v>
      </c>
      <c r="BF72" s="2">
        <v>-0.38</v>
      </c>
      <c r="BG72" s="2">
        <v>-0.89</v>
      </c>
      <c r="BH72" s="2">
        <v>-0.4</v>
      </c>
      <c r="BI72" s="2">
        <v>-0.28000000000000003</v>
      </c>
      <c r="BJ72" s="2">
        <v>-0.24</v>
      </c>
      <c r="BK72" s="2">
        <v>-0.38</v>
      </c>
      <c r="BL72" s="2">
        <v>-0.33</v>
      </c>
      <c r="BM72" s="2">
        <v>-0.37</v>
      </c>
      <c r="BN72" s="2">
        <v>-0.37</v>
      </c>
    </row>
    <row r="75" spans="2:66" x14ac:dyDescent="0.3">
      <c r="B75" t="s">
        <v>42</v>
      </c>
      <c r="R75" t="s">
        <v>43</v>
      </c>
      <c r="AI75" t="s">
        <v>44</v>
      </c>
      <c r="AZ75" t="s">
        <v>45</v>
      </c>
    </row>
    <row r="76" spans="2:66" x14ac:dyDescent="0.3">
      <c r="B76" s="1" t="s">
        <v>13</v>
      </c>
      <c r="C76" s="1" t="s">
        <v>14</v>
      </c>
      <c r="D76" s="1" t="s">
        <v>15</v>
      </c>
      <c r="E76" s="1" t="s">
        <v>14</v>
      </c>
      <c r="F76" s="1" t="s">
        <v>15</v>
      </c>
      <c r="G76" s="1" t="s">
        <v>14</v>
      </c>
      <c r="H76" s="1" t="s">
        <v>15</v>
      </c>
      <c r="I76" s="1" t="s">
        <v>14</v>
      </c>
      <c r="J76" s="1" t="s">
        <v>15</v>
      </c>
      <c r="K76" s="1" t="s">
        <v>14</v>
      </c>
      <c r="L76" s="1" t="s">
        <v>15</v>
      </c>
      <c r="M76" s="1" t="s">
        <v>14</v>
      </c>
      <c r="N76" s="1" t="s">
        <v>15</v>
      </c>
      <c r="O76" s="1" t="s">
        <v>14</v>
      </c>
      <c r="P76" s="1" t="s">
        <v>15</v>
      </c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B77" s="1" t="s">
        <v>16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B78" s="1" t="s">
        <v>17</v>
      </c>
      <c r="R78" s="1" t="s">
        <v>17</v>
      </c>
      <c r="AI78" s="1" t="s">
        <v>17</v>
      </c>
      <c r="AZ78" s="1" t="s">
        <v>17</v>
      </c>
    </row>
    <row r="79" spans="2:66" x14ac:dyDescent="0.3">
      <c r="B79" s="1" t="s">
        <v>18</v>
      </c>
      <c r="C79" s="2">
        <v>0.1102057459979626</v>
      </c>
      <c r="D79" s="2">
        <v>7.2290260601149375E-2</v>
      </c>
      <c r="E79" s="2">
        <v>6.0927603365370057E-2</v>
      </c>
      <c r="F79" s="2">
        <v>4.9308399974453222E-2</v>
      </c>
      <c r="G79" s="2">
        <v>5.1306689137540148E-2</v>
      </c>
      <c r="H79" s="2">
        <v>4.2473373114829273E-2</v>
      </c>
      <c r="I79" s="2">
        <v>7.2065979446572351E-2</v>
      </c>
      <c r="J79" s="2">
        <v>6.0865288229993562E-2</v>
      </c>
      <c r="K79" s="2">
        <v>6.0522211722117622E-2</v>
      </c>
      <c r="L79" s="2">
        <v>8.6639164833148943E-2</v>
      </c>
      <c r="M79" s="2">
        <v>6.6334424251120808E-2</v>
      </c>
      <c r="N79" s="2">
        <v>9.3288604701967828E-2</v>
      </c>
      <c r="O79" s="2">
        <v>8.085709348539831E-2</v>
      </c>
      <c r="P79" s="2">
        <v>0.1148763382776994</v>
      </c>
      <c r="R79" s="1" t="s">
        <v>18</v>
      </c>
      <c r="S79" s="2">
        <v>2.57</v>
      </c>
      <c r="T79" s="2">
        <v>2.57</v>
      </c>
      <c r="U79" s="2">
        <v>1.89</v>
      </c>
      <c r="V79" s="2">
        <v>1.89</v>
      </c>
      <c r="W79" s="2">
        <v>2.92</v>
      </c>
      <c r="X79" s="2">
        <v>2.92</v>
      </c>
      <c r="Y79" s="2">
        <v>3.77</v>
      </c>
      <c r="Z79" s="2">
        <v>3.77</v>
      </c>
      <c r="AA79" s="2">
        <v>2.57</v>
      </c>
      <c r="AB79" s="2">
        <v>2.57</v>
      </c>
      <c r="AC79" s="2">
        <v>3.77</v>
      </c>
      <c r="AD79" s="2">
        <v>3.77</v>
      </c>
      <c r="AE79" s="2">
        <v>4.8</v>
      </c>
      <c r="AF79" s="2">
        <v>4.8</v>
      </c>
      <c r="AI79" s="1" t="s">
        <v>18</v>
      </c>
      <c r="AJ79" s="2">
        <v>65</v>
      </c>
      <c r="AK79" s="2">
        <v>65</v>
      </c>
      <c r="AL79" s="2">
        <v>64.97</v>
      </c>
      <c r="AM79" s="2">
        <v>64.97</v>
      </c>
      <c r="AN79" s="2">
        <v>64.959999999999994</v>
      </c>
      <c r="AO79" s="2">
        <v>64.959999999999994</v>
      </c>
      <c r="AP79" s="2">
        <v>64.98</v>
      </c>
      <c r="AQ79" s="2">
        <v>64.98</v>
      </c>
      <c r="AR79" s="2">
        <v>64.989999999999995</v>
      </c>
      <c r="AS79" s="2">
        <v>64.989999999999995</v>
      </c>
      <c r="AT79" s="2">
        <v>65</v>
      </c>
      <c r="AU79" s="2">
        <v>64.989999999999995</v>
      </c>
      <c r="AV79" s="2">
        <v>65</v>
      </c>
      <c r="AW79" s="2">
        <v>65</v>
      </c>
      <c r="AZ79" s="1" t="s">
        <v>18</v>
      </c>
      <c r="BA79" s="2">
        <v>-7.0000000000000007E-2</v>
      </c>
      <c r="BB79" s="2">
        <v>-7.0000000000000007E-2</v>
      </c>
      <c r="BC79" s="2">
        <v>-7.0000000000000007E-2</v>
      </c>
      <c r="BD79" s="2">
        <v>-7.0000000000000007E-2</v>
      </c>
      <c r="BE79" s="2">
        <v>-7.0000000000000007E-2</v>
      </c>
      <c r="BF79" s="2">
        <v>-7.0000000000000007E-2</v>
      </c>
      <c r="BG79" s="2">
        <v>-7.0000000000000007E-2</v>
      </c>
      <c r="BH79" s="2">
        <v>-7.0000000000000007E-2</v>
      </c>
      <c r="BI79" s="2">
        <v>-7.0000000000000007E-2</v>
      </c>
      <c r="BJ79" s="2">
        <v>-7.0000000000000007E-2</v>
      </c>
      <c r="BK79" s="2">
        <v>-7.0000000000000007E-2</v>
      </c>
      <c r="BL79" s="2">
        <v>-7.0000000000000007E-2</v>
      </c>
      <c r="BM79" s="2">
        <v>-7.0000000000000007E-2</v>
      </c>
      <c r="BN79" s="2">
        <v>-7.0000000000000007E-2</v>
      </c>
    </row>
    <row r="80" spans="2:66" x14ac:dyDescent="0.3">
      <c r="B80" s="1" t="s">
        <v>19</v>
      </c>
      <c r="C80" s="2">
        <v>2.733618535183972E-2</v>
      </c>
      <c r="D80" s="2">
        <v>0.1114419968444955</v>
      </c>
      <c r="E80" s="2">
        <v>2.2890686029525181E-2</v>
      </c>
      <c r="F80" s="2">
        <v>0.23759327825703119</v>
      </c>
      <c r="G80" s="2">
        <v>2.1353679633548461E-2</v>
      </c>
      <c r="H80" s="2">
        <v>0.2458721163495034</v>
      </c>
      <c r="I80" s="2">
        <v>2.4729789045381489E-2</v>
      </c>
      <c r="J80" s="2">
        <v>0.20141502762386801</v>
      </c>
      <c r="K80" s="2">
        <v>2.946853022629815E-2</v>
      </c>
      <c r="L80" s="2">
        <v>8.6148673211774926E-2</v>
      </c>
      <c r="M80" s="2">
        <v>3.065822385829229E-2</v>
      </c>
      <c r="N80" s="2">
        <v>8.411825499521064E-2</v>
      </c>
      <c r="O80" s="2">
        <v>2.1898508150452162E-2</v>
      </c>
      <c r="P80" s="2">
        <v>0.1097059140505687</v>
      </c>
      <c r="R80" s="1" t="s">
        <v>19</v>
      </c>
      <c r="S80" s="2">
        <v>2.58</v>
      </c>
      <c r="T80" s="2">
        <v>2.61</v>
      </c>
      <c r="U80" s="2">
        <v>1.9</v>
      </c>
      <c r="V80" s="2">
        <v>1.97</v>
      </c>
      <c r="W80" s="2">
        <v>2.94</v>
      </c>
      <c r="X80" s="2">
        <v>3.32</v>
      </c>
      <c r="Y80" s="2">
        <v>3.8</v>
      </c>
      <c r="Z80" s="2">
        <v>4.43</v>
      </c>
      <c r="AA80" s="2">
        <v>2.58</v>
      </c>
      <c r="AB80" s="2">
        <v>2.59</v>
      </c>
      <c r="AC80" s="2">
        <v>3.79</v>
      </c>
      <c r="AD80" s="2">
        <v>3.79</v>
      </c>
      <c r="AE80" s="2">
        <v>4.8</v>
      </c>
      <c r="AF80" s="2">
        <v>4.8099999999999996</v>
      </c>
      <c r="AI80" s="1" t="s">
        <v>19</v>
      </c>
      <c r="AJ80" s="2">
        <v>64.89</v>
      </c>
      <c r="AK80" s="2">
        <v>53.17</v>
      </c>
      <c r="AL80" s="2">
        <v>61.59</v>
      </c>
      <c r="AM80" s="2">
        <v>30.99</v>
      </c>
      <c r="AN80" s="2">
        <v>60.66</v>
      </c>
      <c r="AO80" s="2">
        <v>28.56</v>
      </c>
      <c r="AP80" s="2">
        <v>62.36</v>
      </c>
      <c r="AQ80" s="2">
        <v>37.590000000000003</v>
      </c>
      <c r="AR80" s="2">
        <v>61.7</v>
      </c>
      <c r="AS80" s="2">
        <v>55.61</v>
      </c>
      <c r="AT80" s="2">
        <v>62.18</v>
      </c>
      <c r="AU80" s="2">
        <v>56.8</v>
      </c>
      <c r="AV80" s="2">
        <v>64.989999999999995</v>
      </c>
      <c r="AW80" s="2">
        <v>59.01</v>
      </c>
      <c r="AZ80" s="1" t="s">
        <v>19</v>
      </c>
      <c r="BA80" s="2">
        <v>-7.0000000000000007E-2</v>
      </c>
      <c r="BB80" s="2">
        <v>-0.23</v>
      </c>
      <c r="BC80" s="2">
        <v>-0.11</v>
      </c>
      <c r="BD80" s="2">
        <v>-0.54</v>
      </c>
      <c r="BE80" s="2">
        <v>-0.13</v>
      </c>
      <c r="BF80" s="2">
        <v>-0.54</v>
      </c>
      <c r="BG80" s="2">
        <v>-0.1</v>
      </c>
      <c r="BH80" s="2">
        <v>-0.37</v>
      </c>
      <c r="BI80" s="2">
        <v>-0.11</v>
      </c>
      <c r="BJ80" s="2">
        <v>-0.2</v>
      </c>
      <c r="BK80" s="2">
        <v>-0.11</v>
      </c>
      <c r="BL80" s="2">
        <v>-0.18</v>
      </c>
      <c r="BM80" s="2">
        <v>-7.0000000000000007E-2</v>
      </c>
      <c r="BN80" s="2">
        <v>-0.16</v>
      </c>
    </row>
    <row r="81" spans="2:66" x14ac:dyDescent="0.3">
      <c r="B81" s="1" t="s">
        <v>20</v>
      </c>
      <c r="C81" s="2">
        <v>7.6985318877170458E-2</v>
      </c>
      <c r="D81" s="2">
        <v>0.35921496087117122</v>
      </c>
      <c r="E81" s="2">
        <v>9.7168844501422907E-2</v>
      </c>
      <c r="F81" s="2">
        <v>0.25424870697670221</v>
      </c>
      <c r="G81" s="2">
        <v>9.6650902317999818E-2</v>
      </c>
      <c r="H81" s="2">
        <v>0.24824390381478409</v>
      </c>
      <c r="I81" s="2">
        <v>9.7697330827092421E-2</v>
      </c>
      <c r="J81" s="2">
        <v>0.25720908605476261</v>
      </c>
      <c r="K81" s="2">
        <v>8.4387100181400207E-2</v>
      </c>
      <c r="L81" s="2">
        <v>5.4817052777345887E-2</v>
      </c>
      <c r="M81" s="2">
        <v>8.5576030960234542E-2</v>
      </c>
      <c r="N81" s="2">
        <v>5.7840254087754367E-2</v>
      </c>
      <c r="O81" s="2">
        <v>5.4895455330914118E-2</v>
      </c>
      <c r="P81" s="2">
        <v>0.2167083297190307</v>
      </c>
      <c r="R81" s="1" t="s">
        <v>20</v>
      </c>
      <c r="S81" s="2">
        <v>2.59</v>
      </c>
      <c r="T81" s="2">
        <v>2.62</v>
      </c>
      <c r="U81" s="2">
        <v>1.91</v>
      </c>
      <c r="V81" s="2">
        <v>1.99</v>
      </c>
      <c r="W81" s="2">
        <v>2.96</v>
      </c>
      <c r="X81" s="2">
        <v>3.31</v>
      </c>
      <c r="Y81" s="2">
        <v>3.81</v>
      </c>
      <c r="Z81" s="2">
        <v>3.86</v>
      </c>
      <c r="AA81" s="2">
        <v>2.58</v>
      </c>
      <c r="AB81" s="2">
        <v>2.59</v>
      </c>
      <c r="AC81" s="2">
        <v>3.79</v>
      </c>
      <c r="AD81" s="2">
        <v>3.79</v>
      </c>
      <c r="AE81" s="2">
        <v>4.8</v>
      </c>
      <c r="AF81" s="2">
        <v>4.8099999999999996</v>
      </c>
      <c r="AI81" s="1" t="s">
        <v>20</v>
      </c>
      <c r="AJ81" s="2">
        <v>64.040000000000006</v>
      </c>
      <c r="AK81" s="2">
        <v>47.33</v>
      </c>
      <c r="AL81" s="2">
        <v>55.56</v>
      </c>
      <c r="AM81" s="2">
        <v>41.18</v>
      </c>
      <c r="AN81" s="2">
        <v>53.41</v>
      </c>
      <c r="AO81" s="2">
        <v>38.61</v>
      </c>
      <c r="AP81" s="2">
        <v>57.45</v>
      </c>
      <c r="AQ81" s="2">
        <v>43.85</v>
      </c>
      <c r="AR81" s="2">
        <v>59.1</v>
      </c>
      <c r="AS81" s="2">
        <v>63.87</v>
      </c>
      <c r="AT81" s="2">
        <v>59.91</v>
      </c>
      <c r="AU81" s="2">
        <v>64.040000000000006</v>
      </c>
      <c r="AV81" s="2">
        <v>64.95</v>
      </c>
      <c r="AW81" s="2">
        <v>59.12</v>
      </c>
      <c r="AZ81" s="1" t="s">
        <v>20</v>
      </c>
      <c r="BA81" s="2">
        <v>-0.08</v>
      </c>
      <c r="BB81" s="2">
        <v>-0.31</v>
      </c>
      <c r="BC81" s="2">
        <v>-0.2</v>
      </c>
      <c r="BD81" s="2">
        <v>-0.38</v>
      </c>
      <c r="BE81" s="2">
        <v>-0.23</v>
      </c>
      <c r="BF81" s="2">
        <v>-0.37</v>
      </c>
      <c r="BG81" s="2">
        <v>-0.17</v>
      </c>
      <c r="BH81" s="2">
        <v>-0.36</v>
      </c>
      <c r="BI81" s="2">
        <v>-0.15</v>
      </c>
      <c r="BJ81" s="2">
        <v>-0.08</v>
      </c>
      <c r="BK81" s="2">
        <v>-0.14000000000000001</v>
      </c>
      <c r="BL81" s="2">
        <v>-0.08</v>
      </c>
      <c r="BM81" s="2">
        <v>-7.0000000000000007E-2</v>
      </c>
      <c r="BN81" s="2">
        <v>-0.15</v>
      </c>
    </row>
    <row r="82" spans="2:66" x14ac:dyDescent="0.3">
      <c r="B82" s="1" t="s">
        <v>21</v>
      </c>
      <c r="C82" s="2">
        <v>3.1759134676178448E-2</v>
      </c>
      <c r="D82" s="2">
        <v>7.9471276413987685E-2</v>
      </c>
      <c r="E82" s="2">
        <v>3.8870102543405602E-2</v>
      </c>
      <c r="F82" s="2">
        <v>0.1105339221150928</v>
      </c>
      <c r="G82" s="2">
        <v>3.8145204199767413E-2</v>
      </c>
      <c r="H82" s="2">
        <v>0.1122844701446211</v>
      </c>
      <c r="I82" s="2">
        <v>3.9768112025371859E-2</v>
      </c>
      <c r="J82" s="2">
        <v>0.110196619773239</v>
      </c>
      <c r="K82" s="2">
        <v>3.5245810471600511E-2</v>
      </c>
      <c r="L82" s="2">
        <v>3.3370208758155752E-2</v>
      </c>
      <c r="M82" s="2">
        <v>3.6168922395211488E-2</v>
      </c>
      <c r="N82" s="2">
        <v>3.458206597543146E-2</v>
      </c>
      <c r="O82" s="2">
        <v>3.2858130292033869E-2</v>
      </c>
      <c r="P82" s="2">
        <v>5.783935673298584E-2</v>
      </c>
      <c r="R82" s="1" t="s">
        <v>21</v>
      </c>
      <c r="S82" s="2">
        <v>2.59</v>
      </c>
      <c r="T82" s="2">
        <v>2.6</v>
      </c>
      <c r="U82" s="2">
        <v>1.91</v>
      </c>
      <c r="V82" s="2">
        <v>1.94</v>
      </c>
      <c r="W82" s="2">
        <v>2.95</v>
      </c>
      <c r="X82" s="2">
        <v>3.15</v>
      </c>
      <c r="Y82" s="2">
        <v>3.81</v>
      </c>
      <c r="Z82" s="2">
        <v>3.85</v>
      </c>
      <c r="AA82" s="2">
        <v>2.58</v>
      </c>
      <c r="AB82" s="2">
        <v>2.58</v>
      </c>
      <c r="AC82" s="2">
        <v>3.79</v>
      </c>
      <c r="AD82" s="2">
        <v>3.79</v>
      </c>
      <c r="AE82" s="2">
        <v>4.8099999999999996</v>
      </c>
      <c r="AF82" s="2">
        <v>4.82</v>
      </c>
      <c r="AI82" s="1" t="s">
        <v>21</v>
      </c>
      <c r="AJ82" s="2">
        <v>64.680000000000007</v>
      </c>
      <c r="AK82" s="2">
        <v>56.62</v>
      </c>
      <c r="AL82" s="2">
        <v>57.64</v>
      </c>
      <c r="AM82" s="2">
        <v>42.62</v>
      </c>
      <c r="AN82" s="2">
        <v>55.86</v>
      </c>
      <c r="AO82" s="2">
        <v>40.31</v>
      </c>
      <c r="AP82" s="2">
        <v>59.17</v>
      </c>
      <c r="AQ82" s="2">
        <v>46.01</v>
      </c>
      <c r="AR82" s="2">
        <v>60.49</v>
      </c>
      <c r="AS82" s="2">
        <v>62.93</v>
      </c>
      <c r="AT82" s="2">
        <v>61.13</v>
      </c>
      <c r="AU82" s="2">
        <v>63.24</v>
      </c>
      <c r="AV82" s="2">
        <v>64.849999999999994</v>
      </c>
      <c r="AW82" s="2">
        <v>63.47</v>
      </c>
      <c r="AZ82" s="1" t="s">
        <v>21</v>
      </c>
      <c r="BA82" s="2">
        <v>-7.0000000000000007E-2</v>
      </c>
      <c r="BB82" s="2">
        <v>-0.18</v>
      </c>
      <c r="BC82" s="2">
        <v>-0.17</v>
      </c>
      <c r="BD82" s="2">
        <v>-0.37</v>
      </c>
      <c r="BE82" s="2">
        <v>-0.19</v>
      </c>
      <c r="BF82" s="2">
        <v>-0.38</v>
      </c>
      <c r="BG82" s="2">
        <v>-0.15</v>
      </c>
      <c r="BH82" s="2">
        <v>-0.33</v>
      </c>
      <c r="BI82" s="2">
        <v>-0.13</v>
      </c>
      <c r="BJ82" s="2">
        <v>-0.1</v>
      </c>
      <c r="BK82" s="2">
        <v>-0.12</v>
      </c>
      <c r="BL82" s="2">
        <v>-0.09</v>
      </c>
      <c r="BM82" s="2">
        <v>-7.0000000000000007E-2</v>
      </c>
      <c r="BN82" s="2">
        <v>-0.09</v>
      </c>
    </row>
    <row r="83" spans="2:66" x14ac:dyDescent="0.3">
      <c r="B83" s="1" t="s">
        <v>22</v>
      </c>
      <c r="C83" s="2">
        <v>0.26048443585018521</v>
      </c>
      <c r="D83" s="2">
        <v>0.16833127643307719</v>
      </c>
      <c r="E83" s="2">
        <v>0.45535156746751948</v>
      </c>
      <c r="F83" s="2">
        <v>0.18475891353826901</v>
      </c>
      <c r="G83" s="2">
        <v>0.46663854072294869</v>
      </c>
      <c r="H83" s="2">
        <v>0.18825566419298431</v>
      </c>
      <c r="I83" s="2">
        <v>0.44166156841574877</v>
      </c>
      <c r="J83" s="2">
        <v>0.19424547686282051</v>
      </c>
      <c r="K83" s="2">
        <v>0.26700476825664571</v>
      </c>
      <c r="L83" s="2">
        <v>0.34628428827260821</v>
      </c>
      <c r="M83" s="2">
        <v>0.26701883872138787</v>
      </c>
      <c r="N83" s="2">
        <v>0.34137622464583989</v>
      </c>
      <c r="O83" s="2">
        <v>0.24099994239963141</v>
      </c>
      <c r="P83" s="2">
        <v>0.2418592761406082</v>
      </c>
      <c r="R83" s="1" t="s">
        <v>22</v>
      </c>
      <c r="S83" s="2">
        <v>2.59</v>
      </c>
      <c r="T83" s="2">
        <v>2.59</v>
      </c>
      <c r="U83" s="2">
        <v>1.92</v>
      </c>
      <c r="V83" s="2">
        <v>1.91</v>
      </c>
      <c r="W83" s="2">
        <v>2.98</v>
      </c>
      <c r="X83" s="2">
        <v>2.96</v>
      </c>
      <c r="Y83" s="2">
        <v>3.83</v>
      </c>
      <c r="Z83" s="2">
        <v>3.81</v>
      </c>
      <c r="AA83" s="2">
        <v>2.58</v>
      </c>
      <c r="AB83" s="2">
        <v>2.58</v>
      </c>
      <c r="AC83" s="2">
        <v>3.79</v>
      </c>
      <c r="AD83" s="2">
        <v>3.79</v>
      </c>
      <c r="AE83" s="2">
        <v>4.82</v>
      </c>
      <c r="AF83" s="2">
        <v>4.82</v>
      </c>
      <c r="AI83" s="1" t="s">
        <v>22</v>
      </c>
      <c r="AJ83" s="2">
        <v>62.47</v>
      </c>
      <c r="AK83" s="2">
        <v>62.68</v>
      </c>
      <c r="AL83" s="2">
        <v>47.99</v>
      </c>
      <c r="AM83" s="2">
        <v>55.7</v>
      </c>
      <c r="AN83" s="2">
        <v>44.78</v>
      </c>
      <c r="AO83" s="2">
        <v>53.55</v>
      </c>
      <c r="AP83" s="2">
        <v>50.95</v>
      </c>
      <c r="AQ83" s="2">
        <v>57.56</v>
      </c>
      <c r="AR83" s="2">
        <v>56.77</v>
      </c>
      <c r="AS83" s="2">
        <v>57.48</v>
      </c>
      <c r="AT83" s="2">
        <v>57.85</v>
      </c>
      <c r="AU83" s="2">
        <v>58.46</v>
      </c>
      <c r="AV83" s="2">
        <v>63.6</v>
      </c>
      <c r="AW83" s="2">
        <v>64.16</v>
      </c>
      <c r="AZ83" s="1" t="s">
        <v>22</v>
      </c>
      <c r="BA83" s="2">
        <v>-0.1</v>
      </c>
      <c r="BB83" s="2">
        <v>-0.1</v>
      </c>
      <c r="BC83" s="2">
        <v>-0.3</v>
      </c>
      <c r="BD83" s="2">
        <v>-0.19</v>
      </c>
      <c r="BE83" s="2">
        <v>-0.35</v>
      </c>
      <c r="BF83" s="2">
        <v>-0.22</v>
      </c>
      <c r="BG83" s="2">
        <v>-0.26</v>
      </c>
      <c r="BH83" s="2">
        <v>-0.17</v>
      </c>
      <c r="BI83" s="2">
        <v>-0.18</v>
      </c>
      <c r="BJ83" s="2">
        <v>-0.17</v>
      </c>
      <c r="BK83" s="2">
        <v>-0.17</v>
      </c>
      <c r="BL83" s="2">
        <v>-0.16</v>
      </c>
      <c r="BM83" s="2">
        <v>-0.09</v>
      </c>
      <c r="BN83" s="2">
        <v>-0.08</v>
      </c>
    </row>
    <row r="84" spans="2:66" x14ac:dyDescent="0.3">
      <c r="B84" s="1" t="s">
        <v>23</v>
      </c>
      <c r="C84" s="2">
        <v>0.1153291495519508</v>
      </c>
      <c r="D84" s="2">
        <v>4.788186997526947E-2</v>
      </c>
      <c r="E84" s="2">
        <v>4.3425370792352362E-2</v>
      </c>
      <c r="F84" s="2">
        <v>2.8042398616856468E-2</v>
      </c>
      <c r="G84" s="2">
        <v>4.3379132305298343E-2</v>
      </c>
      <c r="H84" s="2">
        <v>2.8329077095374609E-2</v>
      </c>
      <c r="I84" s="2">
        <v>4.3526157262742692E-2</v>
      </c>
      <c r="J84" s="2">
        <v>2.9748515588162619E-2</v>
      </c>
      <c r="K84" s="2">
        <v>0.1178505156742734</v>
      </c>
      <c r="L84" s="2">
        <v>7.5761660221856569E-2</v>
      </c>
      <c r="M84" s="2">
        <v>0.1147490367852082</v>
      </c>
      <c r="N84" s="2">
        <v>7.3975750752012362E-2</v>
      </c>
      <c r="O84" s="2">
        <v>0.12517712113357521</v>
      </c>
      <c r="P84" s="2">
        <v>4.5452812978895113E-2</v>
      </c>
      <c r="R84" s="1" t="s">
        <v>23</v>
      </c>
      <c r="S84" s="2">
        <v>2.61</v>
      </c>
      <c r="T84" s="2">
        <v>2.6</v>
      </c>
      <c r="U84" s="2">
        <v>1.91</v>
      </c>
      <c r="V84" s="2">
        <v>1.91</v>
      </c>
      <c r="W84" s="2">
        <v>2.97</v>
      </c>
      <c r="X84" s="2">
        <v>2.96</v>
      </c>
      <c r="Y84" s="2">
        <v>3.82</v>
      </c>
      <c r="Z84" s="2">
        <v>3.82</v>
      </c>
      <c r="AA84" s="2">
        <v>2.6</v>
      </c>
      <c r="AB84" s="2">
        <v>2.59</v>
      </c>
      <c r="AC84" s="2">
        <v>3.81</v>
      </c>
      <c r="AD84" s="2">
        <v>3.8</v>
      </c>
      <c r="AE84" s="2">
        <v>4.8099999999999996</v>
      </c>
      <c r="AF84" s="2">
        <v>4.82</v>
      </c>
      <c r="AI84" s="1" t="s">
        <v>23</v>
      </c>
      <c r="AJ84" s="2">
        <v>55.13</v>
      </c>
      <c r="AK84" s="2">
        <v>59.42</v>
      </c>
      <c r="AL84" s="2">
        <v>54.89</v>
      </c>
      <c r="AM84" s="2">
        <v>56.89</v>
      </c>
      <c r="AN84" s="2">
        <v>52.62</v>
      </c>
      <c r="AO84" s="2">
        <v>54.97</v>
      </c>
      <c r="AP84" s="2">
        <v>56.88</v>
      </c>
      <c r="AQ84" s="2">
        <v>58.56</v>
      </c>
      <c r="AR84" s="2">
        <v>45.99</v>
      </c>
      <c r="AS84" s="2">
        <v>55.46</v>
      </c>
      <c r="AT84" s="2">
        <v>47.93</v>
      </c>
      <c r="AU84" s="2">
        <v>56.65</v>
      </c>
      <c r="AV84" s="2">
        <v>55.28</v>
      </c>
      <c r="AW84" s="2">
        <v>64.06</v>
      </c>
      <c r="AZ84" s="1" t="s">
        <v>23</v>
      </c>
      <c r="BA84" s="2">
        <v>-0.2</v>
      </c>
      <c r="BB84" s="2">
        <v>-0.14000000000000001</v>
      </c>
      <c r="BC84" s="2">
        <v>-0.2</v>
      </c>
      <c r="BD84" s="2">
        <v>-0.18</v>
      </c>
      <c r="BE84" s="2">
        <v>-0.24</v>
      </c>
      <c r="BF84" s="2">
        <v>-0.2</v>
      </c>
      <c r="BG84" s="2">
        <v>-0.18</v>
      </c>
      <c r="BH84" s="2">
        <v>-0.15</v>
      </c>
      <c r="BI84" s="2">
        <v>-0.34</v>
      </c>
      <c r="BJ84" s="2">
        <v>-0.2</v>
      </c>
      <c r="BK84" s="2">
        <v>-0.31</v>
      </c>
      <c r="BL84" s="2">
        <v>-0.19</v>
      </c>
      <c r="BM84" s="2">
        <v>-0.21</v>
      </c>
      <c r="BN84" s="2">
        <v>-0.08</v>
      </c>
    </row>
    <row r="85" spans="2:66" x14ac:dyDescent="0.3">
      <c r="B85" s="1" t="s">
        <v>24</v>
      </c>
      <c r="C85" s="2">
        <v>0.22493887009486679</v>
      </c>
      <c r="D85" s="2">
        <v>0.11014915628910379</v>
      </c>
      <c r="E85" s="2">
        <v>0.13668084518250459</v>
      </c>
      <c r="F85" s="2">
        <v>9.3422946776216403E-2</v>
      </c>
      <c r="G85" s="2">
        <v>0.13708614849564479</v>
      </c>
      <c r="H85" s="2">
        <v>9.4864675287102754E-2</v>
      </c>
      <c r="I85" s="2">
        <v>0.13661038446259319</v>
      </c>
      <c r="J85" s="2">
        <v>9.8256507164376228E-2</v>
      </c>
      <c r="K85" s="2">
        <v>0.3424970973567743</v>
      </c>
      <c r="L85" s="2">
        <v>0.24292646205093729</v>
      </c>
      <c r="M85" s="2">
        <v>0.33285686165212419</v>
      </c>
      <c r="N85" s="2">
        <v>0.23676878350446159</v>
      </c>
      <c r="O85" s="2">
        <v>0.34119059961983761</v>
      </c>
      <c r="P85" s="2">
        <v>0.1231031482547518</v>
      </c>
      <c r="R85" s="1" t="s">
        <v>24</v>
      </c>
      <c r="S85" s="2">
        <v>2.6</v>
      </c>
      <c r="T85" s="2">
        <v>2.6</v>
      </c>
      <c r="U85" s="2">
        <v>1.92</v>
      </c>
      <c r="V85" s="2">
        <v>1.91</v>
      </c>
      <c r="W85" s="2">
        <v>2.97</v>
      </c>
      <c r="X85" s="2">
        <v>2.96</v>
      </c>
      <c r="Y85" s="2">
        <v>3.82</v>
      </c>
      <c r="Z85" s="2">
        <v>3.82</v>
      </c>
      <c r="AA85" s="2">
        <v>2.6</v>
      </c>
      <c r="AB85" s="2">
        <v>2.59</v>
      </c>
      <c r="AC85" s="2">
        <v>3.81</v>
      </c>
      <c r="AD85" s="2">
        <v>3.8</v>
      </c>
      <c r="AE85" s="2">
        <v>4.8099999999999996</v>
      </c>
      <c r="AF85" s="2">
        <v>4.83</v>
      </c>
      <c r="AI85" s="1" t="s">
        <v>24</v>
      </c>
      <c r="AJ85" s="2">
        <v>59.02</v>
      </c>
      <c r="AK85" s="2">
        <v>61.3</v>
      </c>
      <c r="AL85" s="2">
        <v>54.39</v>
      </c>
      <c r="AM85" s="2">
        <v>55.9</v>
      </c>
      <c r="AN85" s="2">
        <v>52.03</v>
      </c>
      <c r="AO85" s="2">
        <v>53.81</v>
      </c>
      <c r="AP85" s="2">
        <v>56.46</v>
      </c>
      <c r="AQ85" s="2">
        <v>57.74</v>
      </c>
      <c r="AR85" s="2">
        <v>46.43</v>
      </c>
      <c r="AS85" s="2">
        <v>54.76</v>
      </c>
      <c r="AT85" s="2">
        <v>48.37</v>
      </c>
      <c r="AU85" s="2">
        <v>56.02</v>
      </c>
      <c r="AV85" s="2">
        <v>56.3</v>
      </c>
      <c r="AW85" s="2">
        <v>64.45</v>
      </c>
      <c r="AZ85" s="1" t="s">
        <v>24</v>
      </c>
      <c r="BA85" s="2">
        <v>-0.15</v>
      </c>
      <c r="BB85" s="2">
        <v>-0.12</v>
      </c>
      <c r="BC85" s="2">
        <v>-0.21</v>
      </c>
      <c r="BD85" s="2">
        <v>-0.19</v>
      </c>
      <c r="BE85" s="2">
        <v>-0.24</v>
      </c>
      <c r="BF85" s="2">
        <v>-0.22</v>
      </c>
      <c r="BG85" s="2">
        <v>-0.18</v>
      </c>
      <c r="BH85" s="2">
        <v>-0.16</v>
      </c>
      <c r="BI85" s="2">
        <v>-0.33</v>
      </c>
      <c r="BJ85" s="2">
        <v>-0.21</v>
      </c>
      <c r="BK85" s="2">
        <v>-0.3</v>
      </c>
      <c r="BL85" s="2">
        <v>-0.19</v>
      </c>
      <c r="BM85" s="2">
        <v>-0.19</v>
      </c>
      <c r="BN85" s="2">
        <v>-7.0000000000000007E-2</v>
      </c>
    </row>
    <row r="86" spans="2:66" x14ac:dyDescent="0.3">
      <c r="B86" s="1" t="s">
        <v>25</v>
      </c>
      <c r="C86" s="2">
        <v>0.15296115959984599</v>
      </c>
      <c r="D86" s="2">
        <v>5.1219202571745732E-2</v>
      </c>
      <c r="E86" s="2">
        <v>0.14468498011789979</v>
      </c>
      <c r="F86" s="2">
        <v>4.2091433745378833E-2</v>
      </c>
      <c r="G86" s="2">
        <v>0.14543970318725211</v>
      </c>
      <c r="H86" s="2">
        <v>3.9676720000800608E-2</v>
      </c>
      <c r="I86" s="2">
        <v>0.14394067851449729</v>
      </c>
      <c r="J86" s="2">
        <v>4.8063478702777572E-2</v>
      </c>
      <c r="K86" s="2">
        <v>6.3023966110890173E-2</v>
      </c>
      <c r="L86" s="2">
        <v>7.40524898741724E-2</v>
      </c>
      <c r="M86" s="2">
        <v>6.663766137642059E-2</v>
      </c>
      <c r="N86" s="2">
        <v>7.8050061337321647E-2</v>
      </c>
      <c r="O86" s="2">
        <v>0.10212314958815739</v>
      </c>
      <c r="P86" s="2">
        <v>9.0454823845460317E-2</v>
      </c>
      <c r="R86" s="1" t="s">
        <v>25</v>
      </c>
      <c r="S86" s="2">
        <v>2.6</v>
      </c>
      <c r="T86" s="2">
        <v>2.58</v>
      </c>
      <c r="U86" s="2">
        <v>1.92</v>
      </c>
      <c r="V86" s="2">
        <v>1.9</v>
      </c>
      <c r="W86" s="2">
        <v>2.97</v>
      </c>
      <c r="X86" s="2">
        <v>2.94</v>
      </c>
      <c r="Y86" s="2">
        <v>3.82</v>
      </c>
      <c r="Z86" s="2">
        <v>3.81</v>
      </c>
      <c r="AA86" s="2">
        <v>2.59</v>
      </c>
      <c r="AB86" s="2">
        <v>2.59</v>
      </c>
      <c r="AC86" s="2">
        <v>3.8</v>
      </c>
      <c r="AD86" s="2">
        <v>3.8</v>
      </c>
      <c r="AE86" s="2">
        <v>4.83</v>
      </c>
      <c r="AF86" s="2">
        <v>4.8099999999999996</v>
      </c>
      <c r="AI86" s="1" t="s">
        <v>25</v>
      </c>
      <c r="AJ86" s="2">
        <v>61.74</v>
      </c>
      <c r="AK86" s="2">
        <v>64.81</v>
      </c>
      <c r="AL86" s="2">
        <v>53.79</v>
      </c>
      <c r="AM86" s="2">
        <v>62.09</v>
      </c>
      <c r="AN86" s="2">
        <v>51.33</v>
      </c>
      <c r="AO86" s="2">
        <v>61.3</v>
      </c>
      <c r="AP86" s="2">
        <v>55.96</v>
      </c>
      <c r="AQ86" s="2">
        <v>62.76</v>
      </c>
      <c r="AR86" s="2">
        <v>62.86</v>
      </c>
      <c r="AS86" s="2">
        <v>63.73</v>
      </c>
      <c r="AT86" s="2">
        <v>63.18</v>
      </c>
      <c r="AU86" s="2">
        <v>63.92</v>
      </c>
      <c r="AV86" s="2">
        <v>64.62</v>
      </c>
      <c r="AW86" s="2">
        <v>64.930000000000007</v>
      </c>
      <c r="AZ86" s="1" t="s">
        <v>25</v>
      </c>
      <c r="BA86" s="2">
        <v>-0.11</v>
      </c>
      <c r="BB86" s="2">
        <v>-7.0000000000000007E-2</v>
      </c>
      <c r="BC86" s="2">
        <v>-0.22</v>
      </c>
      <c r="BD86" s="2">
        <v>-0.1</v>
      </c>
      <c r="BE86" s="2">
        <v>-0.25</v>
      </c>
      <c r="BF86" s="2">
        <v>-0.12</v>
      </c>
      <c r="BG86" s="2">
        <v>-0.19</v>
      </c>
      <c r="BH86" s="2">
        <v>-0.1</v>
      </c>
      <c r="BI86" s="2">
        <v>-0.1</v>
      </c>
      <c r="BJ86" s="2">
        <v>-0.08</v>
      </c>
      <c r="BK86" s="2">
        <v>-0.09</v>
      </c>
      <c r="BL86" s="2">
        <v>-0.08</v>
      </c>
      <c r="BM86" s="2">
        <v>-7.0000000000000007E-2</v>
      </c>
      <c r="BN86" s="2">
        <v>-7.0000000000000007E-2</v>
      </c>
    </row>
    <row r="89" spans="2:66" x14ac:dyDescent="0.3">
      <c r="R89" t="s">
        <v>46</v>
      </c>
      <c r="AI89" t="s">
        <v>47</v>
      </c>
      <c r="AZ89" t="s">
        <v>48</v>
      </c>
    </row>
    <row r="90" spans="2:66" x14ac:dyDescent="0.3"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1" t="s">
        <v>14</v>
      </c>
      <c r="AK90" s="1" t="s">
        <v>15</v>
      </c>
      <c r="AL90" s="1" t="s">
        <v>14</v>
      </c>
      <c r="AM90" s="1" t="s">
        <v>15</v>
      </c>
      <c r="AN90" s="1" t="s">
        <v>14</v>
      </c>
      <c r="AO90" s="1" t="s">
        <v>15</v>
      </c>
      <c r="AP90" s="1" t="s">
        <v>14</v>
      </c>
      <c r="AQ90" s="1" t="s">
        <v>15</v>
      </c>
      <c r="AR90" s="1" t="s">
        <v>14</v>
      </c>
      <c r="AS90" s="1" t="s">
        <v>15</v>
      </c>
      <c r="AT90" s="1" t="s">
        <v>14</v>
      </c>
      <c r="AU90" s="1" t="s">
        <v>15</v>
      </c>
      <c r="AV90" s="1" t="s">
        <v>14</v>
      </c>
      <c r="AW90" s="1" t="s">
        <v>15</v>
      </c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2:66" x14ac:dyDescent="0.3"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1</v>
      </c>
      <c r="AL91" s="1" t="s">
        <v>2</v>
      </c>
      <c r="AM91" s="1" t="s">
        <v>2</v>
      </c>
      <c r="AN91" s="1" t="s">
        <v>3</v>
      </c>
      <c r="AO91" s="1" t="s">
        <v>3</v>
      </c>
      <c r="AP91" s="1" t="s">
        <v>4</v>
      </c>
      <c r="AQ91" s="1" t="s">
        <v>4</v>
      </c>
      <c r="AR91" s="1" t="s">
        <v>5</v>
      </c>
      <c r="AS91" s="1" t="s">
        <v>5</v>
      </c>
      <c r="AT91" s="1" t="s">
        <v>6</v>
      </c>
      <c r="AU91" s="1" t="s">
        <v>6</v>
      </c>
      <c r="AV91" s="1" t="s">
        <v>7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2:66" x14ac:dyDescent="0.3">
      <c r="R92" s="1" t="s">
        <v>17</v>
      </c>
      <c r="AI92" s="1" t="s">
        <v>17</v>
      </c>
      <c r="AZ92" s="1" t="s">
        <v>17</v>
      </c>
    </row>
    <row r="93" spans="2:66" x14ac:dyDescent="0.3">
      <c r="R93" s="1" t="s">
        <v>18</v>
      </c>
      <c r="S93" s="2">
        <v>5613.84</v>
      </c>
      <c r="T93" s="2">
        <v>6209.2</v>
      </c>
      <c r="U93" s="2">
        <v>9978.59</v>
      </c>
      <c r="V93" s="2">
        <v>11923.58</v>
      </c>
      <c r="W93" s="2">
        <v>6423.3</v>
      </c>
      <c r="X93" s="2">
        <v>9199.83</v>
      </c>
      <c r="Y93" s="2">
        <v>6713.86</v>
      </c>
      <c r="Z93" s="2">
        <v>5476.06</v>
      </c>
      <c r="AA93" s="2">
        <v>6337.4</v>
      </c>
      <c r="AB93" s="2">
        <v>10183.75</v>
      </c>
      <c r="AC93" s="2">
        <v>12166.47</v>
      </c>
      <c r="AD93" s="2">
        <v>6587.92</v>
      </c>
      <c r="AE93" s="2">
        <v>9434.2099999999991</v>
      </c>
      <c r="AF93" s="2">
        <v>8367.7999999999993</v>
      </c>
      <c r="AI93" s="1" t="s">
        <v>18</v>
      </c>
      <c r="AJ93" s="2">
        <v>2.77</v>
      </c>
      <c r="AK93" s="2">
        <v>2.77</v>
      </c>
      <c r="AL93" s="2">
        <v>2.0299999999999998</v>
      </c>
      <c r="AM93" s="2">
        <v>2.0299999999999998</v>
      </c>
      <c r="AN93" s="2">
        <v>3.14</v>
      </c>
      <c r="AO93" s="2">
        <v>3.14</v>
      </c>
      <c r="AP93" s="2">
        <v>4.0599999999999996</v>
      </c>
      <c r="AQ93" s="2">
        <v>4.0599999999999996</v>
      </c>
      <c r="AR93" s="2">
        <v>2.77</v>
      </c>
      <c r="AS93" s="2">
        <v>2.77</v>
      </c>
      <c r="AT93" s="2">
        <v>4.0599999999999996</v>
      </c>
      <c r="AU93" s="2">
        <v>4.0599999999999996</v>
      </c>
      <c r="AV93" s="2">
        <v>5.17</v>
      </c>
      <c r="AW93" s="2">
        <v>5.17</v>
      </c>
      <c r="AZ93" s="1" t="s">
        <v>18</v>
      </c>
      <c r="BA93" s="2">
        <v>0.51</v>
      </c>
      <c r="BB93" s="2">
        <v>0.51</v>
      </c>
      <c r="BC93" s="2">
        <v>0.37</v>
      </c>
      <c r="BD93" s="2">
        <v>0.37</v>
      </c>
      <c r="BE93" s="2">
        <v>0.56999999999999995</v>
      </c>
      <c r="BF93" s="2">
        <v>0.56999999999999995</v>
      </c>
      <c r="BG93" s="2">
        <v>0.74</v>
      </c>
      <c r="BH93" s="2">
        <v>0.74</v>
      </c>
      <c r="BI93" s="2">
        <v>0.43</v>
      </c>
      <c r="BJ93" s="2">
        <v>0.43</v>
      </c>
      <c r="BK93" s="2">
        <v>0.64</v>
      </c>
      <c r="BL93" s="2">
        <v>0.64</v>
      </c>
      <c r="BM93" s="2">
        <v>0.72</v>
      </c>
      <c r="BN93" s="2">
        <v>0.72</v>
      </c>
    </row>
    <row r="94" spans="2:66" x14ac:dyDescent="0.3">
      <c r="R94" s="1" t="s">
        <v>19</v>
      </c>
      <c r="S94" s="2">
        <v>1329.37</v>
      </c>
      <c r="T94" s="2">
        <v>1107.96</v>
      </c>
      <c r="U94" s="2">
        <v>1719.84</v>
      </c>
      <c r="V94" s="2">
        <v>2209.6999999999998</v>
      </c>
      <c r="W94" s="2">
        <v>1440.25</v>
      </c>
      <c r="X94" s="2">
        <v>2121.34</v>
      </c>
      <c r="Y94" s="2">
        <v>1718.51</v>
      </c>
      <c r="Z94" s="2">
        <v>1606.52</v>
      </c>
      <c r="AA94" s="2">
        <v>1398.3</v>
      </c>
      <c r="AB94" s="2">
        <v>2678.64</v>
      </c>
      <c r="AC94" s="2">
        <v>3687.47</v>
      </c>
      <c r="AD94" s="2">
        <v>1426.54</v>
      </c>
      <c r="AE94" s="2">
        <v>2085.44</v>
      </c>
      <c r="AF94" s="2">
        <v>2330.04</v>
      </c>
      <c r="AI94" s="1" t="s">
        <v>19</v>
      </c>
      <c r="AJ94" s="2">
        <v>2.77</v>
      </c>
      <c r="AK94" s="2">
        <v>3.39</v>
      </c>
      <c r="AL94" s="2">
        <v>2.14</v>
      </c>
      <c r="AM94" s="2">
        <v>4.26</v>
      </c>
      <c r="AN94" s="2">
        <v>3.36</v>
      </c>
      <c r="AO94" s="2">
        <v>7.14</v>
      </c>
      <c r="AP94" s="2">
        <v>4.2300000000000004</v>
      </c>
      <c r="AQ94" s="2">
        <v>7.02</v>
      </c>
      <c r="AR94" s="2">
        <v>2.92</v>
      </c>
      <c r="AS94" s="2">
        <v>3.24</v>
      </c>
      <c r="AT94" s="2">
        <v>4.25</v>
      </c>
      <c r="AU94" s="2">
        <v>4.6500000000000004</v>
      </c>
      <c r="AV94" s="2">
        <v>5.17</v>
      </c>
      <c r="AW94" s="2">
        <v>5.69</v>
      </c>
      <c r="AZ94" s="1" t="s">
        <v>19</v>
      </c>
      <c r="BA94" s="2">
        <v>0.53</v>
      </c>
      <c r="BB94" s="2">
        <v>2.67</v>
      </c>
      <c r="BC94" s="2">
        <v>0.78</v>
      </c>
      <c r="BD94" s="2">
        <v>8.0399999999999991</v>
      </c>
      <c r="BE94" s="2">
        <v>1.39</v>
      </c>
      <c r="BF94" s="2">
        <v>12.44</v>
      </c>
      <c r="BG94" s="2">
        <v>1.38</v>
      </c>
      <c r="BH94" s="2">
        <v>8.0500000000000007</v>
      </c>
      <c r="BI94" s="2">
        <v>0.94</v>
      </c>
      <c r="BJ94" s="2">
        <v>1.99</v>
      </c>
      <c r="BK94" s="2">
        <v>1.27</v>
      </c>
      <c r="BL94" s="2">
        <v>2.59</v>
      </c>
      <c r="BM94" s="2">
        <v>0.76</v>
      </c>
      <c r="BN94" s="2">
        <v>2.46</v>
      </c>
    </row>
    <row r="95" spans="2:66" x14ac:dyDescent="0.3">
      <c r="R95" s="1" t="s">
        <v>20</v>
      </c>
      <c r="S95" s="2">
        <v>3027.31</v>
      </c>
      <c r="T95" s="2">
        <v>2312.87</v>
      </c>
      <c r="U95" s="2">
        <v>3632.81</v>
      </c>
      <c r="V95" s="2">
        <v>4548.87</v>
      </c>
      <c r="W95" s="2">
        <v>2844.41</v>
      </c>
      <c r="X95" s="2">
        <v>4178.53</v>
      </c>
      <c r="Y95" s="2">
        <v>4313.53</v>
      </c>
      <c r="Z95" s="2">
        <v>3364.2</v>
      </c>
      <c r="AA95" s="2">
        <v>3002.89</v>
      </c>
      <c r="AB95" s="2">
        <v>5451.15</v>
      </c>
      <c r="AC95" s="2">
        <v>5042.04</v>
      </c>
      <c r="AD95" s="2">
        <v>2979.16</v>
      </c>
      <c r="AE95" s="2">
        <v>4389.1400000000003</v>
      </c>
      <c r="AF95" s="2">
        <v>4666.3100000000004</v>
      </c>
      <c r="AI95" s="1" t="s">
        <v>20</v>
      </c>
      <c r="AJ95" s="2">
        <v>2.81</v>
      </c>
      <c r="AK95" s="2">
        <v>3.8</v>
      </c>
      <c r="AL95" s="2">
        <v>2.38</v>
      </c>
      <c r="AM95" s="2">
        <v>3.21</v>
      </c>
      <c r="AN95" s="2">
        <v>3.82</v>
      </c>
      <c r="AO95" s="2">
        <v>5.28</v>
      </c>
      <c r="AP95" s="2">
        <v>4.5999999999999996</v>
      </c>
      <c r="AQ95" s="2">
        <v>6.02</v>
      </c>
      <c r="AR95" s="2">
        <v>3.05</v>
      </c>
      <c r="AS95" s="2">
        <v>2.82</v>
      </c>
      <c r="AT95" s="2">
        <v>4.41</v>
      </c>
      <c r="AU95" s="2">
        <v>4.12</v>
      </c>
      <c r="AV95" s="2">
        <v>5.17</v>
      </c>
      <c r="AW95" s="2">
        <v>5.68</v>
      </c>
      <c r="AZ95" s="1" t="s">
        <v>20</v>
      </c>
      <c r="BA95" s="2">
        <v>0.66</v>
      </c>
      <c r="BB95" s="2">
        <v>4.0999999999999996</v>
      </c>
      <c r="BC95" s="2">
        <v>1.59</v>
      </c>
      <c r="BD95" s="2">
        <v>4.03</v>
      </c>
      <c r="BE95" s="2">
        <v>2.96</v>
      </c>
      <c r="BF95" s="2">
        <v>6.22</v>
      </c>
      <c r="BG95" s="2">
        <v>2.64</v>
      </c>
      <c r="BH95" s="2">
        <v>7.53</v>
      </c>
      <c r="BI95" s="2">
        <v>1.36</v>
      </c>
      <c r="BJ95" s="2">
        <v>0.61</v>
      </c>
      <c r="BK95" s="2">
        <v>1.8</v>
      </c>
      <c r="BL95" s="2">
        <v>0.85</v>
      </c>
      <c r="BM95" s="2">
        <v>0.76</v>
      </c>
      <c r="BN95" s="2">
        <v>2.4300000000000002</v>
      </c>
    </row>
    <row r="96" spans="2:66" x14ac:dyDescent="0.3">
      <c r="R96" s="1" t="s">
        <v>21</v>
      </c>
      <c r="S96" s="2">
        <v>1531.91</v>
      </c>
      <c r="T96" s="2">
        <v>1137.57</v>
      </c>
      <c r="U96" s="2">
        <v>1781.35</v>
      </c>
      <c r="V96" s="2">
        <v>2246.04</v>
      </c>
      <c r="W96" s="2">
        <v>1428.24</v>
      </c>
      <c r="X96" s="2">
        <v>2101.5</v>
      </c>
      <c r="Y96" s="2">
        <v>2597.41</v>
      </c>
      <c r="Z96" s="2">
        <v>1562.56</v>
      </c>
      <c r="AA96" s="2">
        <v>1305.73</v>
      </c>
      <c r="AB96" s="2">
        <v>2466.09</v>
      </c>
      <c r="AC96" s="2">
        <v>2482.38</v>
      </c>
      <c r="AD96" s="2">
        <v>1461.54</v>
      </c>
      <c r="AE96" s="2">
        <v>2154.89</v>
      </c>
      <c r="AF96" s="2">
        <v>2625.69</v>
      </c>
      <c r="AI96" s="1" t="s">
        <v>21</v>
      </c>
      <c r="AJ96" s="2">
        <v>2.78</v>
      </c>
      <c r="AK96" s="2">
        <v>3.18</v>
      </c>
      <c r="AL96" s="2">
        <v>2.29</v>
      </c>
      <c r="AM96" s="2">
        <v>3.1</v>
      </c>
      <c r="AN96" s="2">
        <v>3.65</v>
      </c>
      <c r="AO96" s="2">
        <v>5.0599999999999996</v>
      </c>
      <c r="AP96" s="2">
        <v>4.46</v>
      </c>
      <c r="AQ96" s="2">
        <v>5.74</v>
      </c>
      <c r="AR96" s="2">
        <v>2.98</v>
      </c>
      <c r="AS96" s="2">
        <v>2.86</v>
      </c>
      <c r="AT96" s="2">
        <v>4.32</v>
      </c>
      <c r="AU96" s="2">
        <v>4.17</v>
      </c>
      <c r="AV96" s="2">
        <v>5.18</v>
      </c>
      <c r="AW96" s="2">
        <v>5.29</v>
      </c>
      <c r="AZ96" s="1" t="s">
        <v>21</v>
      </c>
      <c r="BA96" s="2">
        <v>0.54</v>
      </c>
      <c r="BB96" s="2">
        <v>1.96</v>
      </c>
      <c r="BC96" s="2">
        <v>1.29</v>
      </c>
      <c r="BD96" s="2">
        <v>4.03</v>
      </c>
      <c r="BE96" s="2">
        <v>2.39</v>
      </c>
      <c r="BF96" s="2">
        <v>6.22</v>
      </c>
      <c r="BG96" s="2">
        <v>2.17</v>
      </c>
      <c r="BH96" s="2">
        <v>6.56</v>
      </c>
      <c r="BI96" s="2">
        <v>1.1299999999999999</v>
      </c>
      <c r="BJ96" s="2">
        <v>0.75</v>
      </c>
      <c r="BK96" s="2">
        <v>1.51</v>
      </c>
      <c r="BL96" s="2">
        <v>1.03</v>
      </c>
      <c r="BM96" s="2">
        <v>0.75</v>
      </c>
      <c r="BN96" s="2">
        <v>1.1499999999999999</v>
      </c>
    </row>
    <row r="97" spans="18:66" x14ac:dyDescent="0.3">
      <c r="R97" s="1" t="s">
        <v>22</v>
      </c>
      <c r="S97" s="2">
        <v>7543.74</v>
      </c>
      <c r="T97" s="2">
        <v>6161.77</v>
      </c>
      <c r="U97" s="2">
        <v>9731.41</v>
      </c>
      <c r="V97" s="2">
        <v>11988.38</v>
      </c>
      <c r="W97" s="2">
        <v>7135.53</v>
      </c>
      <c r="X97" s="2">
        <v>10447.879999999999</v>
      </c>
      <c r="Y97" s="2">
        <v>13246.7</v>
      </c>
      <c r="Z97" s="2">
        <v>7543.38</v>
      </c>
      <c r="AA97" s="2">
        <v>5788.86</v>
      </c>
      <c r="AB97" s="2">
        <v>9090.5499999999993</v>
      </c>
      <c r="AC97" s="2">
        <v>11385.38</v>
      </c>
      <c r="AD97" s="2">
        <v>7129.34</v>
      </c>
      <c r="AE97" s="2">
        <v>10445.52</v>
      </c>
      <c r="AF97" s="2">
        <v>13629.42</v>
      </c>
      <c r="AI97" s="1" t="s">
        <v>22</v>
      </c>
      <c r="AJ97" s="2">
        <v>2.88</v>
      </c>
      <c r="AK97" s="2">
        <v>2.87</v>
      </c>
      <c r="AL97" s="2">
        <v>2.75</v>
      </c>
      <c r="AM97" s="2">
        <v>2.37</v>
      </c>
      <c r="AN97" s="2">
        <v>4.5599999999999996</v>
      </c>
      <c r="AO97" s="2">
        <v>3.81</v>
      </c>
      <c r="AP97" s="2">
        <v>5.18</v>
      </c>
      <c r="AQ97" s="2">
        <v>4.59</v>
      </c>
      <c r="AR97" s="2">
        <v>3.17</v>
      </c>
      <c r="AS97" s="2">
        <v>3.13</v>
      </c>
      <c r="AT97" s="2">
        <v>4.5599999999999996</v>
      </c>
      <c r="AU97" s="2">
        <v>4.5199999999999996</v>
      </c>
      <c r="AV97" s="2">
        <v>5.28</v>
      </c>
      <c r="AW97" s="2">
        <v>5.24</v>
      </c>
      <c r="AZ97" s="1" t="s">
        <v>22</v>
      </c>
      <c r="BA97" s="2">
        <v>0.89</v>
      </c>
      <c r="BB97" s="2">
        <v>0.86</v>
      </c>
      <c r="BC97" s="2">
        <v>2.79</v>
      </c>
      <c r="BD97" s="2">
        <v>1.52</v>
      </c>
      <c r="BE97" s="2">
        <v>5.33</v>
      </c>
      <c r="BF97" s="2">
        <v>2.84</v>
      </c>
      <c r="BG97" s="2">
        <v>4.51</v>
      </c>
      <c r="BH97" s="2">
        <v>2.5299999999999998</v>
      </c>
      <c r="BI97" s="2">
        <v>1.72</v>
      </c>
      <c r="BJ97" s="2">
        <v>1.6</v>
      </c>
      <c r="BK97" s="2">
        <v>2.25</v>
      </c>
      <c r="BL97" s="2">
        <v>2.1</v>
      </c>
      <c r="BM97" s="2">
        <v>1.08</v>
      </c>
      <c r="BN97" s="2">
        <v>0.93</v>
      </c>
    </row>
    <row r="98" spans="18:66" x14ac:dyDescent="0.3">
      <c r="R98" s="1" t="s">
        <v>23</v>
      </c>
      <c r="S98" s="2">
        <v>1633.82</v>
      </c>
      <c r="T98" s="2">
        <v>1201.43</v>
      </c>
      <c r="U98" s="2">
        <v>1891</v>
      </c>
      <c r="V98" s="2">
        <v>2357.83</v>
      </c>
      <c r="W98" s="2">
        <v>1585.37</v>
      </c>
      <c r="X98" s="2">
        <v>2293.4</v>
      </c>
      <c r="Y98" s="2">
        <v>2450.65</v>
      </c>
      <c r="Z98" s="2">
        <v>1575.62</v>
      </c>
      <c r="AA98" s="2">
        <v>1180.57</v>
      </c>
      <c r="AB98" s="2">
        <v>1853.24</v>
      </c>
      <c r="AC98" s="2">
        <v>2325.29</v>
      </c>
      <c r="AD98" s="2">
        <v>1504.93</v>
      </c>
      <c r="AE98" s="2">
        <v>2196.21</v>
      </c>
      <c r="AF98" s="2">
        <v>2814.98</v>
      </c>
      <c r="AI98" s="1" t="s">
        <v>23</v>
      </c>
      <c r="AJ98" s="2">
        <v>3.27</v>
      </c>
      <c r="AK98" s="2">
        <v>3.03</v>
      </c>
      <c r="AL98" s="2">
        <v>2.4</v>
      </c>
      <c r="AM98" s="2">
        <v>2.3199999999999998</v>
      </c>
      <c r="AN98" s="2">
        <v>3.88</v>
      </c>
      <c r="AO98" s="2">
        <v>3.71</v>
      </c>
      <c r="AP98" s="2">
        <v>4.6399999999999997</v>
      </c>
      <c r="AQ98" s="2">
        <v>4.51</v>
      </c>
      <c r="AR98" s="2">
        <v>3.91</v>
      </c>
      <c r="AS98" s="2">
        <v>3.25</v>
      </c>
      <c r="AT98" s="2">
        <v>5.51</v>
      </c>
      <c r="AU98" s="2">
        <v>4.66</v>
      </c>
      <c r="AV98" s="2">
        <v>6.08</v>
      </c>
      <c r="AW98" s="2">
        <v>5.24</v>
      </c>
      <c r="AZ98" s="1" t="s">
        <v>23</v>
      </c>
      <c r="BA98" s="2">
        <v>1.83</v>
      </c>
      <c r="BB98" s="2">
        <v>1.17</v>
      </c>
      <c r="BC98" s="2">
        <v>1.37</v>
      </c>
      <c r="BD98" s="2">
        <v>1.1299999999999999</v>
      </c>
      <c r="BE98" s="2">
        <v>2.56</v>
      </c>
      <c r="BF98" s="2">
        <v>2.1</v>
      </c>
      <c r="BG98" s="2">
        <v>2.27</v>
      </c>
      <c r="BH98" s="2">
        <v>1.9</v>
      </c>
      <c r="BI98" s="2">
        <v>3.41</v>
      </c>
      <c r="BJ98" s="2">
        <v>1.66</v>
      </c>
      <c r="BK98" s="2">
        <v>4.4000000000000004</v>
      </c>
      <c r="BL98" s="2">
        <v>2.16</v>
      </c>
      <c r="BM98" s="2">
        <v>3.04</v>
      </c>
      <c r="BN98" s="2">
        <v>0.84</v>
      </c>
    </row>
    <row r="99" spans="18:66" x14ac:dyDescent="0.3">
      <c r="R99" s="1" t="s">
        <v>24</v>
      </c>
      <c r="S99" s="2">
        <v>4742.82</v>
      </c>
      <c r="T99" s="2">
        <v>3620.07</v>
      </c>
      <c r="U99" s="2">
        <v>5700.67</v>
      </c>
      <c r="V99" s="2">
        <v>7098.18</v>
      </c>
      <c r="W99" s="2">
        <v>4741.59</v>
      </c>
      <c r="X99" s="2">
        <v>6862.89</v>
      </c>
      <c r="Y99" s="2">
        <v>7369.81</v>
      </c>
      <c r="Z99" s="2">
        <v>4664.28</v>
      </c>
      <c r="AA99" s="2">
        <v>3572.48</v>
      </c>
      <c r="AB99" s="2">
        <v>5616.01</v>
      </c>
      <c r="AC99" s="2">
        <v>7023.75</v>
      </c>
      <c r="AD99" s="2">
        <v>4527.17</v>
      </c>
      <c r="AE99" s="2">
        <v>6601.12</v>
      </c>
      <c r="AF99" s="2">
        <v>8606.8799999999992</v>
      </c>
      <c r="AI99" s="1" t="s">
        <v>24</v>
      </c>
      <c r="AJ99" s="2">
        <v>3.05</v>
      </c>
      <c r="AK99" s="2">
        <v>2.94</v>
      </c>
      <c r="AL99" s="2">
        <v>2.4300000000000002</v>
      </c>
      <c r="AM99" s="2">
        <v>2.36</v>
      </c>
      <c r="AN99" s="2">
        <v>3.92</v>
      </c>
      <c r="AO99" s="2">
        <v>3.79</v>
      </c>
      <c r="AP99" s="2">
        <v>4.68</v>
      </c>
      <c r="AQ99" s="2">
        <v>4.57</v>
      </c>
      <c r="AR99" s="2">
        <v>3.88</v>
      </c>
      <c r="AS99" s="2">
        <v>3.29</v>
      </c>
      <c r="AT99" s="2">
        <v>5.46</v>
      </c>
      <c r="AU99" s="2">
        <v>4.71</v>
      </c>
      <c r="AV99" s="2">
        <v>5.97</v>
      </c>
      <c r="AW99" s="2">
        <v>5.21</v>
      </c>
      <c r="AZ99" s="1" t="s">
        <v>24</v>
      </c>
      <c r="BA99" s="2">
        <v>1.23</v>
      </c>
      <c r="BB99" s="2">
        <v>0.91</v>
      </c>
      <c r="BC99" s="2">
        <v>1.43</v>
      </c>
      <c r="BD99" s="2">
        <v>1.25</v>
      </c>
      <c r="BE99" s="2">
        <v>2.68</v>
      </c>
      <c r="BF99" s="2">
        <v>2.3199999999999998</v>
      </c>
      <c r="BG99" s="2">
        <v>2.36</v>
      </c>
      <c r="BH99" s="2">
        <v>2.08</v>
      </c>
      <c r="BI99" s="2">
        <v>3.32</v>
      </c>
      <c r="BJ99" s="2">
        <v>1.76</v>
      </c>
      <c r="BK99" s="2">
        <v>4.26</v>
      </c>
      <c r="BL99" s="2">
        <v>2.2999999999999998</v>
      </c>
      <c r="BM99" s="2">
        <v>2.76</v>
      </c>
      <c r="BN99" s="2">
        <v>0.75</v>
      </c>
    </row>
    <row r="100" spans="18:66" x14ac:dyDescent="0.3">
      <c r="R100" s="1" t="s">
        <v>25</v>
      </c>
      <c r="S100" s="2">
        <v>4652.53</v>
      </c>
      <c r="T100" s="2">
        <v>3638.49</v>
      </c>
      <c r="U100" s="2">
        <v>5733.51</v>
      </c>
      <c r="V100" s="2">
        <v>7128.31</v>
      </c>
      <c r="W100" s="2">
        <v>4540.68</v>
      </c>
      <c r="X100" s="2">
        <v>6685.58</v>
      </c>
      <c r="Y100" s="2">
        <v>8685.6299999999992</v>
      </c>
      <c r="Z100" s="2">
        <v>4375.91</v>
      </c>
      <c r="AA100" s="2">
        <v>3406.18</v>
      </c>
      <c r="AB100" s="2">
        <v>5285.89</v>
      </c>
      <c r="AC100" s="2">
        <v>6795.18</v>
      </c>
      <c r="AD100" s="2">
        <v>4599.28</v>
      </c>
      <c r="AE100" s="2">
        <v>6770.15</v>
      </c>
      <c r="AF100" s="2">
        <v>6933.38</v>
      </c>
      <c r="AI100" s="1" t="s">
        <v>25</v>
      </c>
      <c r="AJ100" s="2">
        <v>2.92</v>
      </c>
      <c r="AK100" s="2">
        <v>2.78</v>
      </c>
      <c r="AL100" s="2">
        <v>2.4500000000000002</v>
      </c>
      <c r="AM100" s="2">
        <v>2.13</v>
      </c>
      <c r="AN100" s="2">
        <v>3.97</v>
      </c>
      <c r="AO100" s="2">
        <v>3.33</v>
      </c>
      <c r="AP100" s="2">
        <v>4.72</v>
      </c>
      <c r="AQ100" s="2">
        <v>4.21</v>
      </c>
      <c r="AR100" s="2">
        <v>2.86</v>
      </c>
      <c r="AS100" s="2">
        <v>2.82</v>
      </c>
      <c r="AT100" s="2">
        <v>4.18</v>
      </c>
      <c r="AU100" s="2">
        <v>4.13</v>
      </c>
      <c r="AV100" s="2">
        <v>5.2</v>
      </c>
      <c r="AW100" s="2">
        <v>5.18</v>
      </c>
      <c r="AZ100" s="1" t="s">
        <v>25</v>
      </c>
      <c r="BA100" s="2">
        <v>0.85</v>
      </c>
      <c r="BB100" s="2">
        <v>0.45</v>
      </c>
      <c r="BC100" s="2">
        <v>1.5</v>
      </c>
      <c r="BD100" s="2">
        <v>0.59</v>
      </c>
      <c r="BE100" s="2">
        <v>2.82</v>
      </c>
      <c r="BF100" s="2">
        <v>1.03</v>
      </c>
      <c r="BG100" s="2">
        <v>2.48</v>
      </c>
      <c r="BH100" s="2">
        <v>1.05</v>
      </c>
      <c r="BI100" s="2">
        <v>0.64</v>
      </c>
      <c r="BJ100" s="2">
        <v>0.53</v>
      </c>
      <c r="BK100" s="2">
        <v>0.88</v>
      </c>
      <c r="BL100" s="2">
        <v>0.74</v>
      </c>
      <c r="BM100" s="2">
        <v>0.7</v>
      </c>
      <c r="BN100" s="2">
        <v>0.68</v>
      </c>
    </row>
    <row r="103" spans="18:66" x14ac:dyDescent="0.3">
      <c r="R103" t="s">
        <v>49</v>
      </c>
      <c r="AZ103" t="s">
        <v>50</v>
      </c>
    </row>
    <row r="104" spans="18:66" x14ac:dyDescent="0.3"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18:66" x14ac:dyDescent="0.3"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18:66" x14ac:dyDescent="0.3">
      <c r="R106" s="1" t="s">
        <v>17</v>
      </c>
      <c r="AZ106" s="1" t="s">
        <v>17</v>
      </c>
    </row>
    <row r="107" spans="18:66" x14ac:dyDescent="0.3">
      <c r="R107" s="1" t="s">
        <v>18</v>
      </c>
      <c r="S107" s="2">
        <v>1871.28</v>
      </c>
      <c r="T107" s="2">
        <v>1825.35</v>
      </c>
      <c r="U107" s="2">
        <v>2822.36</v>
      </c>
      <c r="V107" s="2">
        <v>2880.64</v>
      </c>
      <c r="W107" s="2">
        <v>2934.88</v>
      </c>
      <c r="X107" s="2">
        <v>2995.22</v>
      </c>
      <c r="Y107" s="2">
        <v>2709.91</v>
      </c>
      <c r="Z107" s="2">
        <v>2765.11</v>
      </c>
      <c r="AA107" s="2">
        <v>2141.1</v>
      </c>
      <c r="AB107" s="2">
        <v>2195.9699999999998</v>
      </c>
      <c r="AC107" s="2">
        <v>2090.87</v>
      </c>
      <c r="AD107" s="2">
        <v>2144.14</v>
      </c>
      <c r="AE107" s="2">
        <v>1198.9000000000001</v>
      </c>
      <c r="AF107" s="2">
        <v>1494.25</v>
      </c>
      <c r="AZ107" s="1" t="s">
        <v>18</v>
      </c>
      <c r="BA107" s="2">
        <v>2.54</v>
      </c>
      <c r="BB107" s="2">
        <v>2.54</v>
      </c>
      <c r="BC107" s="2">
        <v>1.86</v>
      </c>
      <c r="BD107" s="2">
        <v>1.86</v>
      </c>
      <c r="BE107" s="2">
        <v>2.87</v>
      </c>
      <c r="BF107" s="2">
        <v>2.87</v>
      </c>
      <c r="BG107" s="2">
        <v>3.72</v>
      </c>
      <c r="BH107" s="2">
        <v>3.72</v>
      </c>
      <c r="BI107" s="2">
        <v>2.17</v>
      </c>
      <c r="BJ107" s="2">
        <v>2.17</v>
      </c>
      <c r="BK107" s="2">
        <v>3.18</v>
      </c>
      <c r="BL107" s="2">
        <v>3.18</v>
      </c>
      <c r="BM107" s="2">
        <v>3.59</v>
      </c>
      <c r="BN107" s="2">
        <v>3.59</v>
      </c>
    </row>
    <row r="108" spans="18:66" x14ac:dyDescent="0.3">
      <c r="R108" s="1" t="s">
        <v>19</v>
      </c>
      <c r="S108" s="2">
        <v>443.12</v>
      </c>
      <c r="T108" s="2">
        <v>535.51</v>
      </c>
      <c r="U108" s="2">
        <v>503.62</v>
      </c>
      <c r="V108" s="2">
        <v>635.59</v>
      </c>
      <c r="W108" s="2">
        <v>505.83</v>
      </c>
      <c r="X108" s="2">
        <v>787.84</v>
      </c>
      <c r="Y108" s="2">
        <v>502.2</v>
      </c>
      <c r="Z108" s="2">
        <v>838.06</v>
      </c>
      <c r="AA108" s="2">
        <v>480.08</v>
      </c>
      <c r="AB108" s="2">
        <v>475.51</v>
      </c>
      <c r="AC108" s="2">
        <v>482.12</v>
      </c>
      <c r="AD108" s="2">
        <v>473.96</v>
      </c>
      <c r="AE108" s="2">
        <v>306.88</v>
      </c>
      <c r="AF108" s="2">
        <v>416.08</v>
      </c>
      <c r="AZ108" s="1" t="s">
        <v>19</v>
      </c>
      <c r="BA108" s="2">
        <v>2.66</v>
      </c>
      <c r="BB108" s="2">
        <v>13.34</v>
      </c>
      <c r="BC108" s="2">
        <v>3.91</v>
      </c>
      <c r="BD108" s="2">
        <v>40.21</v>
      </c>
      <c r="BE108" s="2">
        <v>6.93</v>
      </c>
      <c r="BF108" s="2">
        <v>62.22</v>
      </c>
      <c r="BG108" s="2">
        <v>6.88</v>
      </c>
      <c r="BH108" s="2">
        <v>40.26</v>
      </c>
      <c r="BI108" s="2">
        <v>4.7</v>
      </c>
      <c r="BJ108" s="2">
        <v>9.93</v>
      </c>
      <c r="BK108" s="2">
        <v>6.36</v>
      </c>
      <c r="BL108" s="2">
        <v>12.95</v>
      </c>
      <c r="BM108" s="2">
        <v>3.8</v>
      </c>
      <c r="BN108" s="2">
        <v>12.3</v>
      </c>
    </row>
    <row r="109" spans="18:66" x14ac:dyDescent="0.3">
      <c r="R109" s="1" t="s">
        <v>20</v>
      </c>
      <c r="S109" s="2">
        <v>1009.1</v>
      </c>
      <c r="T109" s="2">
        <v>1121.4000000000001</v>
      </c>
      <c r="U109" s="2">
        <v>1051.31</v>
      </c>
      <c r="V109" s="2">
        <v>1364.95</v>
      </c>
      <c r="W109" s="2">
        <v>1068.47</v>
      </c>
      <c r="X109" s="2">
        <v>1603.28</v>
      </c>
      <c r="Y109" s="2">
        <v>1033.83</v>
      </c>
      <c r="Z109" s="2">
        <v>1145.92</v>
      </c>
      <c r="AA109" s="2">
        <v>948.14</v>
      </c>
      <c r="AB109" s="2">
        <v>993.05</v>
      </c>
      <c r="AC109" s="2">
        <v>949.66</v>
      </c>
      <c r="AD109" s="2">
        <v>997.53</v>
      </c>
      <c r="AE109" s="2">
        <v>770.27</v>
      </c>
      <c r="AF109" s="2">
        <v>833.27</v>
      </c>
      <c r="AZ109" s="1" t="s">
        <v>20</v>
      </c>
      <c r="BA109" s="2">
        <v>3.29</v>
      </c>
      <c r="BB109" s="2">
        <v>20.51</v>
      </c>
      <c r="BC109" s="2">
        <v>7.95</v>
      </c>
      <c r="BD109" s="2">
        <v>20.13</v>
      </c>
      <c r="BE109" s="2">
        <v>14.82</v>
      </c>
      <c r="BF109" s="2">
        <v>31.11</v>
      </c>
      <c r="BG109" s="2">
        <v>13.19</v>
      </c>
      <c r="BH109" s="2">
        <v>37.64</v>
      </c>
      <c r="BI109" s="2">
        <v>6.82</v>
      </c>
      <c r="BJ109" s="2">
        <v>3.03</v>
      </c>
      <c r="BK109" s="2">
        <v>9.01</v>
      </c>
      <c r="BL109" s="2">
        <v>4.2300000000000004</v>
      </c>
      <c r="BM109" s="2">
        <v>3.79</v>
      </c>
      <c r="BN109" s="2">
        <v>12.13</v>
      </c>
    </row>
    <row r="110" spans="18:66" x14ac:dyDescent="0.3">
      <c r="R110" s="1" t="s">
        <v>21</v>
      </c>
      <c r="S110" s="2">
        <v>510.64</v>
      </c>
      <c r="T110" s="2">
        <v>520.85</v>
      </c>
      <c r="U110" s="2">
        <v>517.08000000000004</v>
      </c>
      <c r="V110" s="2">
        <v>593.51</v>
      </c>
      <c r="W110" s="2">
        <v>523.92999999999995</v>
      </c>
      <c r="X110" s="2">
        <v>725.32</v>
      </c>
      <c r="Y110" s="2">
        <v>510.46</v>
      </c>
      <c r="Z110" s="2">
        <v>564.17999999999995</v>
      </c>
      <c r="AA110" s="2">
        <v>476.08</v>
      </c>
      <c r="AB110" s="2">
        <v>487.18</v>
      </c>
      <c r="AC110" s="2">
        <v>477.61</v>
      </c>
      <c r="AD110" s="2">
        <v>489.75</v>
      </c>
      <c r="AE110" s="2">
        <v>463.82</v>
      </c>
      <c r="AF110" s="2">
        <v>468.87</v>
      </c>
      <c r="AZ110" s="1" t="s">
        <v>21</v>
      </c>
      <c r="BA110" s="2">
        <v>2.68</v>
      </c>
      <c r="BB110" s="2">
        <v>9.7899999999999991</v>
      </c>
      <c r="BC110" s="2">
        <v>6.47</v>
      </c>
      <c r="BD110" s="2">
        <v>20.13</v>
      </c>
      <c r="BE110" s="2">
        <v>11.94</v>
      </c>
      <c r="BF110" s="2">
        <v>31.11</v>
      </c>
      <c r="BG110" s="2">
        <v>10.87</v>
      </c>
      <c r="BH110" s="2">
        <v>32.799999999999997</v>
      </c>
      <c r="BI110" s="2">
        <v>5.67</v>
      </c>
      <c r="BJ110" s="2">
        <v>3.75</v>
      </c>
      <c r="BK110" s="2">
        <v>7.57</v>
      </c>
      <c r="BL110" s="2">
        <v>5.15</v>
      </c>
      <c r="BM110" s="2">
        <v>3.77</v>
      </c>
      <c r="BN110" s="2">
        <v>5.75</v>
      </c>
    </row>
    <row r="111" spans="18:66" x14ac:dyDescent="0.3">
      <c r="R111" s="1" t="s">
        <v>22</v>
      </c>
      <c r="S111" s="2">
        <v>2514.58</v>
      </c>
      <c r="T111" s="2">
        <v>2514.46</v>
      </c>
      <c r="U111" s="2">
        <v>2800.8</v>
      </c>
      <c r="V111" s="2">
        <v>2631.3</v>
      </c>
      <c r="W111" s="2">
        <v>2862.18</v>
      </c>
      <c r="X111" s="2">
        <v>2673.69</v>
      </c>
      <c r="Y111" s="2">
        <v>2724.63</v>
      </c>
      <c r="Z111" s="2">
        <v>2587.59</v>
      </c>
      <c r="AA111" s="2">
        <v>2378.5100000000002</v>
      </c>
      <c r="AB111" s="2">
        <v>2376.4499999999998</v>
      </c>
      <c r="AC111" s="2">
        <v>2374.52</v>
      </c>
      <c r="AD111" s="2">
        <v>2373.98</v>
      </c>
      <c r="AE111" s="2">
        <v>2365.48</v>
      </c>
      <c r="AF111" s="2">
        <v>2433.83</v>
      </c>
      <c r="AZ111" s="1" t="s">
        <v>22</v>
      </c>
      <c r="BA111" s="2">
        <v>4.47</v>
      </c>
      <c r="BB111" s="2">
        <v>4.3</v>
      </c>
      <c r="BC111" s="2">
        <v>13.96</v>
      </c>
      <c r="BD111" s="2">
        <v>7.61</v>
      </c>
      <c r="BE111" s="2">
        <v>26.64</v>
      </c>
      <c r="BF111" s="2">
        <v>14.21</v>
      </c>
      <c r="BG111" s="2">
        <v>22.57</v>
      </c>
      <c r="BH111" s="2">
        <v>12.66</v>
      </c>
      <c r="BI111" s="2">
        <v>8.6</v>
      </c>
      <c r="BJ111" s="2">
        <v>7.99</v>
      </c>
      <c r="BK111" s="2">
        <v>11.24</v>
      </c>
      <c r="BL111" s="2">
        <v>10.49</v>
      </c>
      <c r="BM111" s="2">
        <v>5.42</v>
      </c>
      <c r="BN111" s="2">
        <v>4.6399999999999997</v>
      </c>
    </row>
    <row r="112" spans="18:66" x14ac:dyDescent="0.3">
      <c r="R112" s="1" t="s">
        <v>23</v>
      </c>
      <c r="S112" s="2">
        <v>544.61</v>
      </c>
      <c r="T112" s="2">
        <v>525.21</v>
      </c>
      <c r="U112" s="2">
        <v>546.11</v>
      </c>
      <c r="V112" s="2">
        <v>536.62</v>
      </c>
      <c r="W112" s="2">
        <v>556.17999999999995</v>
      </c>
      <c r="X112" s="2">
        <v>545.07000000000005</v>
      </c>
      <c r="Y112" s="2">
        <v>535.87</v>
      </c>
      <c r="Z112" s="2">
        <v>528.47</v>
      </c>
      <c r="AA112" s="2">
        <v>528.46</v>
      </c>
      <c r="AB112" s="2">
        <v>501.64</v>
      </c>
      <c r="AC112" s="2">
        <v>521.23</v>
      </c>
      <c r="AD112" s="2">
        <v>499.14</v>
      </c>
      <c r="AE112" s="2">
        <v>437.62</v>
      </c>
      <c r="AF112" s="2">
        <v>502.68</v>
      </c>
      <c r="AZ112" s="1" t="s">
        <v>23</v>
      </c>
      <c r="BA112" s="2">
        <v>9.1300000000000008</v>
      </c>
      <c r="BB112" s="2">
        <v>5.85</v>
      </c>
      <c r="BC112" s="2">
        <v>6.84</v>
      </c>
      <c r="BD112" s="2">
        <v>5.66</v>
      </c>
      <c r="BE112" s="2">
        <v>12.78</v>
      </c>
      <c r="BF112" s="2">
        <v>10.49</v>
      </c>
      <c r="BG112" s="2">
        <v>11.33</v>
      </c>
      <c r="BH112" s="2">
        <v>9.49</v>
      </c>
      <c r="BI112" s="2">
        <v>17.07</v>
      </c>
      <c r="BJ112" s="2">
        <v>8.2799999999999994</v>
      </c>
      <c r="BK112" s="2">
        <v>21.98</v>
      </c>
      <c r="BL112" s="2">
        <v>10.81</v>
      </c>
      <c r="BM112" s="2">
        <v>15.22</v>
      </c>
      <c r="BN112" s="2">
        <v>4.22</v>
      </c>
    </row>
    <row r="113" spans="18:66" x14ac:dyDescent="0.3">
      <c r="R113" s="1" t="s">
        <v>24</v>
      </c>
      <c r="S113" s="2">
        <v>1580.94</v>
      </c>
      <c r="T113" s="2">
        <v>1554.76</v>
      </c>
      <c r="U113" s="2">
        <v>1645.49</v>
      </c>
      <c r="V113" s="2">
        <v>1623.86</v>
      </c>
      <c r="W113" s="2">
        <v>1676.67</v>
      </c>
      <c r="X113" s="2">
        <v>1651.77</v>
      </c>
      <c r="Y113" s="2">
        <v>1613.22</v>
      </c>
      <c r="Z113" s="2">
        <v>1596.31</v>
      </c>
      <c r="AA113" s="2">
        <v>1580.53</v>
      </c>
      <c r="AB113" s="2">
        <v>1509.06</v>
      </c>
      <c r="AC113" s="2">
        <v>1559.75</v>
      </c>
      <c r="AD113" s="2">
        <v>1500.25</v>
      </c>
      <c r="AE113" s="2">
        <v>1316.04</v>
      </c>
      <c r="AF113" s="2">
        <v>1536.94</v>
      </c>
      <c r="AZ113" s="1" t="s">
        <v>24</v>
      </c>
      <c r="BA113" s="2">
        <v>6.14</v>
      </c>
      <c r="BB113" s="2">
        <v>4.55</v>
      </c>
      <c r="BC113" s="2">
        <v>7.14</v>
      </c>
      <c r="BD113" s="2">
        <v>6.24</v>
      </c>
      <c r="BE113" s="2">
        <v>13.39</v>
      </c>
      <c r="BF113" s="2">
        <v>11.59</v>
      </c>
      <c r="BG113" s="2">
        <v>11.81</v>
      </c>
      <c r="BH113" s="2">
        <v>10.38</v>
      </c>
      <c r="BI113" s="2">
        <v>16.579999999999998</v>
      </c>
      <c r="BJ113" s="2">
        <v>8.82</v>
      </c>
      <c r="BK113" s="2">
        <v>21.31</v>
      </c>
      <c r="BL113" s="2">
        <v>11.51</v>
      </c>
      <c r="BM113" s="2">
        <v>13.79</v>
      </c>
      <c r="BN113" s="2">
        <v>3.74</v>
      </c>
    </row>
    <row r="114" spans="18:66" x14ac:dyDescent="0.3">
      <c r="R114" s="1" t="s">
        <v>25</v>
      </c>
      <c r="S114" s="2">
        <v>1550.84</v>
      </c>
      <c r="T114" s="2">
        <v>1458.64</v>
      </c>
      <c r="U114" s="2">
        <v>1653.86</v>
      </c>
      <c r="V114" s="2">
        <v>1548.27</v>
      </c>
      <c r="W114" s="2">
        <v>1686.33</v>
      </c>
      <c r="X114" s="2">
        <v>1554.67</v>
      </c>
      <c r="Y114" s="2">
        <v>1620.07</v>
      </c>
      <c r="Z114" s="2">
        <v>1544.36</v>
      </c>
      <c r="AA114" s="2">
        <v>1513.56</v>
      </c>
      <c r="AB114" s="2">
        <v>1533.09</v>
      </c>
      <c r="AC114" s="2">
        <v>1519.45</v>
      </c>
      <c r="AD114" s="2">
        <v>1538.67</v>
      </c>
      <c r="AE114" s="2">
        <v>1551</v>
      </c>
      <c r="AF114" s="2">
        <v>1238.0999999999999</v>
      </c>
      <c r="AZ114" s="1" t="s">
        <v>25</v>
      </c>
      <c r="BA114" s="2">
        <v>4.26</v>
      </c>
      <c r="BB114" s="2">
        <v>2.2599999999999998</v>
      </c>
      <c r="BC114" s="2">
        <v>7.52</v>
      </c>
      <c r="BD114" s="2">
        <v>2.95</v>
      </c>
      <c r="BE114" s="2">
        <v>14.12</v>
      </c>
      <c r="BF114" s="2">
        <v>5.16</v>
      </c>
      <c r="BG114" s="2">
        <v>12.39</v>
      </c>
      <c r="BH114" s="2">
        <v>5.25</v>
      </c>
      <c r="BI114" s="2">
        <v>3.19</v>
      </c>
      <c r="BJ114" s="2">
        <v>2.65</v>
      </c>
      <c r="BK114" s="2">
        <v>4.3899999999999997</v>
      </c>
      <c r="BL114" s="2">
        <v>3.7</v>
      </c>
      <c r="BM114" s="2">
        <v>3.5</v>
      </c>
      <c r="BN114" s="2">
        <v>3.41</v>
      </c>
    </row>
    <row r="117" spans="18:66" x14ac:dyDescent="0.3">
      <c r="R117" t="s">
        <v>51</v>
      </c>
      <c r="AZ117" t="s">
        <v>52</v>
      </c>
    </row>
    <row r="118" spans="18:66" x14ac:dyDescent="0.3">
      <c r="R118" s="1" t="s">
        <v>13</v>
      </c>
      <c r="S118" s="3" t="s">
        <v>14</v>
      </c>
      <c r="T118" s="3"/>
      <c r="U118" s="3"/>
      <c r="V118" s="3"/>
      <c r="W118" s="3"/>
      <c r="X118" s="3"/>
      <c r="Y118" s="3"/>
      <c r="Z118" s="3" t="s">
        <v>15</v>
      </c>
      <c r="AA118" s="3"/>
      <c r="AB118" s="3"/>
      <c r="AC118" s="3"/>
      <c r="AD118" s="3"/>
      <c r="AE118" s="3"/>
      <c r="AF118" s="3"/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18:66" x14ac:dyDescent="0.3">
      <c r="R119" s="1" t="s">
        <v>16</v>
      </c>
      <c r="S119" s="1" t="s">
        <v>1</v>
      </c>
      <c r="T119" s="1" t="s">
        <v>2</v>
      </c>
      <c r="U119" s="1" t="s">
        <v>3</v>
      </c>
      <c r="V119" s="1" t="s">
        <v>4</v>
      </c>
      <c r="W119" s="1" t="s">
        <v>5</v>
      </c>
      <c r="X119" s="1" t="s">
        <v>6</v>
      </c>
      <c r="Y119" s="1" t="s">
        <v>7</v>
      </c>
      <c r="Z119" s="1" t="s">
        <v>1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18:66" x14ac:dyDescent="0.3">
      <c r="R120" s="1" t="s">
        <v>17</v>
      </c>
      <c r="AZ120" s="1" t="s">
        <v>17</v>
      </c>
    </row>
    <row r="121" spans="18:66" x14ac:dyDescent="0.3">
      <c r="R121" s="1" t="s">
        <v>18</v>
      </c>
      <c r="S121" s="2">
        <v>707.43</v>
      </c>
      <c r="T121" s="2">
        <v>782.79</v>
      </c>
      <c r="U121" s="2">
        <v>1259.48</v>
      </c>
      <c r="V121" s="2">
        <v>1501.36</v>
      </c>
      <c r="W121" s="2">
        <v>811.03</v>
      </c>
      <c r="X121" s="2">
        <v>1157.29</v>
      </c>
      <c r="Y121" s="2">
        <v>847.32</v>
      </c>
      <c r="Z121" s="2">
        <v>691.83</v>
      </c>
      <c r="AA121" s="2">
        <v>798.88</v>
      </c>
      <c r="AB121" s="2">
        <v>1284.31</v>
      </c>
      <c r="AC121" s="2">
        <v>1533.46</v>
      </c>
      <c r="AD121" s="2">
        <v>828.72</v>
      </c>
      <c r="AE121" s="2">
        <v>1189.5999999999999</v>
      </c>
      <c r="AF121" s="2">
        <v>1054.47</v>
      </c>
      <c r="AZ121" s="1" t="s">
        <v>18</v>
      </c>
      <c r="BA121" s="2">
        <v>51.44</v>
      </c>
      <c r="BB121" s="2">
        <v>51.44</v>
      </c>
      <c r="BC121" s="2">
        <v>70.14</v>
      </c>
      <c r="BD121" s="2">
        <v>70.14</v>
      </c>
      <c r="BE121" s="2">
        <v>45.38</v>
      </c>
      <c r="BF121" s="2">
        <v>45.38</v>
      </c>
      <c r="BG121" s="2">
        <v>35.07</v>
      </c>
      <c r="BH121" s="2">
        <v>35.07</v>
      </c>
      <c r="BI121" s="2">
        <v>43.81</v>
      </c>
      <c r="BJ121" s="2">
        <v>43.81</v>
      </c>
      <c r="BK121" s="2">
        <v>29.87</v>
      </c>
      <c r="BL121" s="2">
        <v>29.87</v>
      </c>
      <c r="BM121" s="2">
        <v>20.83</v>
      </c>
      <c r="BN121" s="2">
        <v>20.83</v>
      </c>
    </row>
    <row r="122" spans="18:66" x14ac:dyDescent="0.3">
      <c r="R122" s="1" t="s">
        <v>19</v>
      </c>
      <c r="S122" s="2">
        <v>167.86</v>
      </c>
      <c r="T122" s="2">
        <v>139.96</v>
      </c>
      <c r="U122" s="2">
        <v>217.37</v>
      </c>
      <c r="V122" s="2">
        <v>278.99</v>
      </c>
      <c r="W122" s="2">
        <v>181.6</v>
      </c>
      <c r="X122" s="2">
        <v>267.98</v>
      </c>
      <c r="Y122" s="2">
        <v>217.09</v>
      </c>
      <c r="Z122" s="2">
        <v>203.7</v>
      </c>
      <c r="AA122" s="2">
        <v>180.3</v>
      </c>
      <c r="AB122" s="2">
        <v>350.36</v>
      </c>
      <c r="AC122" s="2">
        <v>474.9</v>
      </c>
      <c r="AD122" s="2">
        <v>180.09</v>
      </c>
      <c r="AE122" s="2">
        <v>263.37</v>
      </c>
      <c r="AF122" s="2">
        <v>294.07</v>
      </c>
      <c r="AZ122" s="1" t="s">
        <v>19</v>
      </c>
      <c r="BA122" s="2">
        <v>54.6</v>
      </c>
      <c r="BB122" s="2">
        <v>68.64</v>
      </c>
      <c r="BC122" s="2">
        <v>88.27</v>
      </c>
      <c r="BD122" s="2">
        <v>95.8</v>
      </c>
      <c r="BE122" s="2">
        <v>57.88</v>
      </c>
      <c r="BF122" s="2">
        <v>57.44</v>
      </c>
      <c r="BG122" s="2">
        <v>43.45</v>
      </c>
      <c r="BH122" s="2">
        <v>42.32</v>
      </c>
      <c r="BI122" s="2">
        <v>56.52</v>
      </c>
      <c r="BJ122" s="2">
        <v>60.95</v>
      </c>
      <c r="BK122" s="2">
        <v>38.06</v>
      </c>
      <c r="BL122" s="2">
        <v>41.19</v>
      </c>
      <c r="BM122" s="2">
        <v>22.04</v>
      </c>
      <c r="BN122" s="2">
        <v>29.83</v>
      </c>
    </row>
    <row r="123" spans="18:66" x14ac:dyDescent="0.3">
      <c r="R123" s="1" t="s">
        <v>20</v>
      </c>
      <c r="S123" s="2">
        <v>381.98</v>
      </c>
      <c r="T123" s="2">
        <v>292.72000000000003</v>
      </c>
      <c r="U123" s="2">
        <v>460.67</v>
      </c>
      <c r="V123" s="2">
        <v>576.47</v>
      </c>
      <c r="W123" s="2">
        <v>358.86</v>
      </c>
      <c r="X123" s="2">
        <v>527.29</v>
      </c>
      <c r="Y123" s="2">
        <v>545.34</v>
      </c>
      <c r="Z123" s="2">
        <v>428.24</v>
      </c>
      <c r="AA123" s="2">
        <v>382.69</v>
      </c>
      <c r="AB123" s="2">
        <v>699.03</v>
      </c>
      <c r="AC123" s="2">
        <v>647.54999999999995</v>
      </c>
      <c r="AD123" s="2">
        <v>375.61</v>
      </c>
      <c r="AE123" s="2">
        <v>553.6</v>
      </c>
      <c r="AF123" s="2">
        <v>589.24</v>
      </c>
      <c r="AZ123" s="1" t="s">
        <v>20</v>
      </c>
      <c r="BA123" s="2">
        <v>59.7</v>
      </c>
      <c r="BB123" s="2">
        <v>69.459999999999994</v>
      </c>
      <c r="BC123" s="2">
        <v>92.86</v>
      </c>
      <c r="BD123" s="2">
        <v>90.59</v>
      </c>
      <c r="BE123" s="2">
        <v>60.51</v>
      </c>
      <c r="BF123" s="2">
        <v>55.63</v>
      </c>
      <c r="BG123" s="2">
        <v>45.96</v>
      </c>
      <c r="BH123" s="2">
        <v>47.47</v>
      </c>
      <c r="BI123" s="2">
        <v>59.08</v>
      </c>
      <c r="BJ123" s="2">
        <v>51.93</v>
      </c>
      <c r="BK123" s="2">
        <v>39.840000000000003</v>
      </c>
      <c r="BL123" s="2">
        <v>34.94</v>
      </c>
      <c r="BM123" s="2">
        <v>22.04</v>
      </c>
      <c r="BN123" s="2">
        <v>29.77</v>
      </c>
    </row>
    <row r="124" spans="18:66" x14ac:dyDescent="0.3">
      <c r="R124" s="1" t="s">
        <v>21</v>
      </c>
      <c r="S124" s="2">
        <v>193.38</v>
      </c>
      <c r="T124" s="2">
        <v>143.76</v>
      </c>
      <c r="U124" s="2">
        <v>225.5</v>
      </c>
      <c r="V124" s="2">
        <v>284.32</v>
      </c>
      <c r="W124" s="2">
        <v>180.18</v>
      </c>
      <c r="X124" s="2">
        <v>265.42</v>
      </c>
      <c r="Y124" s="2">
        <v>326.95</v>
      </c>
      <c r="Z124" s="2">
        <v>197.82</v>
      </c>
      <c r="AA124" s="2">
        <v>166.33</v>
      </c>
      <c r="AB124" s="2">
        <v>316.08999999999997</v>
      </c>
      <c r="AC124" s="2">
        <v>317.82</v>
      </c>
      <c r="AD124" s="2">
        <v>184.48</v>
      </c>
      <c r="AE124" s="2">
        <v>272.02999999999997</v>
      </c>
      <c r="AF124" s="2">
        <v>331.34</v>
      </c>
      <c r="AZ124" s="1" t="s">
        <v>21</v>
      </c>
      <c r="BA124" s="2">
        <v>55.42</v>
      </c>
      <c r="BB124" s="2">
        <v>67.739999999999995</v>
      </c>
      <c r="BC124" s="2">
        <v>91.88</v>
      </c>
      <c r="BD124" s="2">
        <v>94.69</v>
      </c>
      <c r="BE124" s="2">
        <v>59.98</v>
      </c>
      <c r="BF124" s="2">
        <v>57.33</v>
      </c>
      <c r="BG124" s="2">
        <v>45.41</v>
      </c>
      <c r="BH124" s="2">
        <v>47.37</v>
      </c>
      <c r="BI124" s="2">
        <v>57.91</v>
      </c>
      <c r="BJ124" s="2">
        <v>54.47</v>
      </c>
      <c r="BK124" s="2">
        <v>39.020000000000003</v>
      </c>
      <c r="BL124" s="2">
        <v>36.65</v>
      </c>
      <c r="BM124" s="2">
        <v>22.04</v>
      </c>
      <c r="BN124" s="2">
        <v>25.88</v>
      </c>
    </row>
    <row r="125" spans="18:66" x14ac:dyDescent="0.3">
      <c r="R125" s="1" t="s">
        <v>22</v>
      </c>
      <c r="S125" s="2">
        <v>953</v>
      </c>
      <c r="T125" s="2">
        <v>782.05</v>
      </c>
      <c r="U125" s="2">
        <v>1242.54</v>
      </c>
      <c r="V125" s="2">
        <v>1526.82</v>
      </c>
      <c r="W125" s="2">
        <v>901.44</v>
      </c>
      <c r="X125" s="2">
        <v>1319.73</v>
      </c>
      <c r="Y125" s="2">
        <v>1670.16</v>
      </c>
      <c r="Z125" s="2">
        <v>951.88</v>
      </c>
      <c r="AA125" s="2">
        <v>731.71</v>
      </c>
      <c r="AB125" s="2">
        <v>1152.6099999999999</v>
      </c>
      <c r="AC125" s="2">
        <v>1442.56</v>
      </c>
      <c r="AD125" s="2">
        <v>900.17</v>
      </c>
      <c r="AE125" s="2">
        <v>1320.43</v>
      </c>
      <c r="AF125" s="2">
        <v>1718.19</v>
      </c>
      <c r="AZ125" s="1" t="s">
        <v>22</v>
      </c>
      <c r="BA125" s="2">
        <v>61.78</v>
      </c>
      <c r="BB125" s="2">
        <v>61.45</v>
      </c>
      <c r="BC125" s="2">
        <v>91.93</v>
      </c>
      <c r="BD125" s="2">
        <v>90.11</v>
      </c>
      <c r="BE125" s="2">
        <v>59.66</v>
      </c>
      <c r="BF125" s="2">
        <v>58.72</v>
      </c>
      <c r="BG125" s="2">
        <v>45.65</v>
      </c>
      <c r="BH125" s="2">
        <v>44.6</v>
      </c>
      <c r="BI125" s="2">
        <v>58.72</v>
      </c>
      <c r="BJ125" s="2">
        <v>58.38</v>
      </c>
      <c r="BK125" s="2">
        <v>39.659999999999997</v>
      </c>
      <c r="BL125" s="2">
        <v>39.42</v>
      </c>
      <c r="BM125" s="2">
        <v>24.99</v>
      </c>
      <c r="BN125" s="2">
        <v>23.85</v>
      </c>
    </row>
    <row r="126" spans="18:66" x14ac:dyDescent="0.3">
      <c r="R126" s="1" t="s">
        <v>23</v>
      </c>
      <c r="S126" s="2">
        <v>206.78</v>
      </c>
      <c r="T126" s="2">
        <v>151.93</v>
      </c>
      <c r="U126" s="2">
        <v>239.69</v>
      </c>
      <c r="V126" s="2">
        <v>298.74</v>
      </c>
      <c r="W126" s="2">
        <v>200.66</v>
      </c>
      <c r="X126" s="2">
        <v>290.64999999999998</v>
      </c>
      <c r="Y126" s="2">
        <v>309.39999999999998</v>
      </c>
      <c r="Z126" s="2">
        <v>199.18</v>
      </c>
      <c r="AA126" s="2">
        <v>149.28</v>
      </c>
      <c r="AB126" s="2">
        <v>234.83</v>
      </c>
      <c r="AC126" s="2">
        <v>294.38</v>
      </c>
      <c r="AD126" s="2">
        <v>189.97</v>
      </c>
      <c r="AE126" s="2">
        <v>277.38</v>
      </c>
      <c r="AF126" s="2">
        <v>355.1</v>
      </c>
      <c r="AZ126" s="1" t="s">
        <v>23</v>
      </c>
      <c r="BA126" s="2">
        <v>55.72</v>
      </c>
      <c r="BB126" s="2">
        <v>54.59</v>
      </c>
      <c r="BC126" s="2">
        <v>76.06</v>
      </c>
      <c r="BD126" s="2">
        <v>75.510000000000005</v>
      </c>
      <c r="BE126" s="2">
        <v>49.48</v>
      </c>
      <c r="BF126" s="2">
        <v>49.18</v>
      </c>
      <c r="BG126" s="2">
        <v>37.729999999999997</v>
      </c>
      <c r="BH126" s="2">
        <v>37.42</v>
      </c>
      <c r="BI126" s="2">
        <v>51.88</v>
      </c>
      <c r="BJ126" s="2">
        <v>50.46</v>
      </c>
      <c r="BK126" s="2">
        <v>35.229999999999997</v>
      </c>
      <c r="BL126" s="2">
        <v>34.17</v>
      </c>
      <c r="BM126" s="2">
        <v>25.8</v>
      </c>
      <c r="BN126" s="2">
        <v>21.5</v>
      </c>
    </row>
    <row r="127" spans="18:66" x14ac:dyDescent="0.3">
      <c r="R127" s="1" t="s">
        <v>24</v>
      </c>
      <c r="S127" s="2">
        <v>599.16</v>
      </c>
      <c r="T127" s="2">
        <v>457.78</v>
      </c>
      <c r="U127" s="2">
        <v>723.21</v>
      </c>
      <c r="V127" s="2">
        <v>899.79</v>
      </c>
      <c r="W127" s="2">
        <v>600.78</v>
      </c>
      <c r="X127" s="2">
        <v>869.21</v>
      </c>
      <c r="Y127" s="2">
        <v>931.55</v>
      </c>
      <c r="Z127" s="2">
        <v>588.99</v>
      </c>
      <c r="AA127" s="2">
        <v>451.77</v>
      </c>
      <c r="AB127" s="2">
        <v>711.42</v>
      </c>
      <c r="AC127" s="2">
        <v>889.15</v>
      </c>
      <c r="AD127" s="2">
        <v>572</v>
      </c>
      <c r="AE127" s="2">
        <v>834.7</v>
      </c>
      <c r="AF127" s="2">
        <v>1085.22</v>
      </c>
      <c r="AZ127" s="1" t="s">
        <v>24</v>
      </c>
      <c r="BA127" s="2">
        <v>54.75</v>
      </c>
      <c r="BB127" s="2">
        <v>53.63</v>
      </c>
      <c r="BC127" s="2">
        <v>76.17</v>
      </c>
      <c r="BD127" s="2">
        <v>75.81</v>
      </c>
      <c r="BE127" s="2">
        <v>49.54</v>
      </c>
      <c r="BF127" s="2">
        <v>49.34</v>
      </c>
      <c r="BG127" s="2">
        <v>37.799999999999997</v>
      </c>
      <c r="BH127" s="2">
        <v>37.590000000000003</v>
      </c>
      <c r="BI127" s="2">
        <v>51.84</v>
      </c>
      <c r="BJ127" s="2">
        <v>50.63</v>
      </c>
      <c r="BK127" s="2">
        <v>35.200000000000003</v>
      </c>
      <c r="BL127" s="2">
        <v>34.299999999999997</v>
      </c>
      <c r="BM127" s="2">
        <v>25.61</v>
      </c>
      <c r="BN127" s="2">
        <v>20.7</v>
      </c>
    </row>
    <row r="128" spans="18:66" x14ac:dyDescent="0.3">
      <c r="R128" s="1" t="s">
        <v>25</v>
      </c>
      <c r="S128" s="2">
        <v>587.49</v>
      </c>
      <c r="T128" s="2">
        <v>460.51</v>
      </c>
      <c r="U128" s="2">
        <v>727.86</v>
      </c>
      <c r="V128" s="2">
        <v>903.86</v>
      </c>
      <c r="W128" s="2">
        <v>572.41999999999996</v>
      </c>
      <c r="X128" s="2">
        <v>843.13</v>
      </c>
      <c r="Y128" s="2">
        <v>1097.28</v>
      </c>
      <c r="Z128" s="2">
        <v>551.74</v>
      </c>
      <c r="AA128" s="2">
        <v>430.14</v>
      </c>
      <c r="AB128" s="2">
        <v>667.49</v>
      </c>
      <c r="AC128" s="2">
        <v>858.02</v>
      </c>
      <c r="AD128" s="2">
        <v>579.70000000000005</v>
      </c>
      <c r="AE128" s="2">
        <v>853.88</v>
      </c>
      <c r="AF128" s="2">
        <v>876.18</v>
      </c>
      <c r="AZ128" s="1" t="s">
        <v>25</v>
      </c>
      <c r="BA128" s="2">
        <v>53.32</v>
      </c>
      <c r="BB128" s="2">
        <v>46.79</v>
      </c>
      <c r="BC128" s="2">
        <v>76.3</v>
      </c>
      <c r="BD128" s="2">
        <v>72.31</v>
      </c>
      <c r="BE128" s="2">
        <v>49.6</v>
      </c>
      <c r="BF128" s="2">
        <v>47.32</v>
      </c>
      <c r="BG128" s="2">
        <v>37.869999999999997</v>
      </c>
      <c r="BH128" s="2">
        <v>35.68</v>
      </c>
      <c r="BI128" s="2">
        <v>46.26</v>
      </c>
      <c r="BJ128" s="2">
        <v>44.76</v>
      </c>
      <c r="BK128" s="2">
        <v>31.21</v>
      </c>
      <c r="BL128" s="2">
        <v>30.19</v>
      </c>
      <c r="BM128" s="2">
        <v>20.18</v>
      </c>
      <c r="BN128" s="2">
        <v>19.829999999999998</v>
      </c>
    </row>
    <row r="131" spans="18:32" x14ac:dyDescent="0.3">
      <c r="R131" t="s">
        <v>53</v>
      </c>
    </row>
    <row r="132" spans="18:32" x14ac:dyDescent="0.3">
      <c r="R132" s="1" t="s">
        <v>13</v>
      </c>
      <c r="S132" s="1" t="s">
        <v>14</v>
      </c>
      <c r="T132" s="1" t="s">
        <v>15</v>
      </c>
      <c r="U132" s="1" t="s">
        <v>14</v>
      </c>
      <c r="V132" s="1" t="s">
        <v>15</v>
      </c>
      <c r="W132" s="1" t="s">
        <v>14</v>
      </c>
      <c r="X132" s="1" t="s">
        <v>15</v>
      </c>
      <c r="Y132" s="1" t="s">
        <v>14</v>
      </c>
      <c r="Z132" s="1" t="s">
        <v>15</v>
      </c>
      <c r="AA132" s="1" t="s">
        <v>14</v>
      </c>
      <c r="AB132" s="1" t="s">
        <v>15</v>
      </c>
      <c r="AC132" s="1" t="s">
        <v>14</v>
      </c>
      <c r="AD132" s="1" t="s">
        <v>15</v>
      </c>
      <c r="AE132" s="1" t="s">
        <v>14</v>
      </c>
      <c r="AF132" s="1" t="s">
        <v>15</v>
      </c>
    </row>
    <row r="133" spans="18:32" x14ac:dyDescent="0.3">
      <c r="R133" s="1" t="s">
        <v>16</v>
      </c>
      <c r="S133" s="1" t="s">
        <v>1</v>
      </c>
      <c r="T133" s="1" t="s">
        <v>1</v>
      </c>
      <c r="U133" s="1" t="s">
        <v>2</v>
      </c>
      <c r="V133" s="1" t="s">
        <v>2</v>
      </c>
      <c r="W133" s="1" t="s">
        <v>3</v>
      </c>
      <c r="X133" s="1" t="s">
        <v>3</v>
      </c>
      <c r="Y133" s="1" t="s">
        <v>4</v>
      </c>
      <c r="Z133" s="1" t="s">
        <v>4</v>
      </c>
      <c r="AA133" s="1" t="s">
        <v>5</v>
      </c>
      <c r="AB133" s="1" t="s">
        <v>5</v>
      </c>
      <c r="AC133" s="1" t="s">
        <v>6</v>
      </c>
      <c r="AD133" s="1" t="s">
        <v>6</v>
      </c>
      <c r="AE133" s="1" t="s">
        <v>7</v>
      </c>
      <c r="AF133" s="1" t="s">
        <v>7</v>
      </c>
    </row>
    <row r="134" spans="18:32" x14ac:dyDescent="0.3">
      <c r="R134" s="1" t="s">
        <v>17</v>
      </c>
    </row>
    <row r="135" spans="18:32" x14ac:dyDescent="0.3">
      <c r="R135" s="1" t="s">
        <v>18</v>
      </c>
      <c r="S135" s="2">
        <v>235.81</v>
      </c>
      <c r="T135" s="2">
        <v>230.61</v>
      </c>
      <c r="U135" s="2">
        <v>355.82</v>
      </c>
      <c r="V135" s="2">
        <v>363.13</v>
      </c>
      <c r="W135" s="2">
        <v>370.43</v>
      </c>
      <c r="X135" s="2">
        <v>377.74</v>
      </c>
      <c r="Y135" s="2">
        <v>341.22</v>
      </c>
      <c r="Z135" s="2">
        <v>348.51</v>
      </c>
      <c r="AA135" s="2">
        <v>270.33999999999997</v>
      </c>
      <c r="AB135" s="2">
        <v>276.24</v>
      </c>
      <c r="AC135" s="2">
        <v>263.02</v>
      </c>
      <c r="AD135" s="2">
        <v>270.36</v>
      </c>
      <c r="AE135" s="2">
        <v>151.31</v>
      </c>
      <c r="AF135" s="2">
        <v>188.3</v>
      </c>
    </row>
    <row r="136" spans="18:32" x14ac:dyDescent="0.3">
      <c r="R136" s="1" t="s">
        <v>19</v>
      </c>
      <c r="S136" s="2">
        <v>55.95</v>
      </c>
      <c r="T136" s="2">
        <v>67.900000000000006</v>
      </c>
      <c r="U136" s="2">
        <v>63.62</v>
      </c>
      <c r="V136" s="2">
        <v>81.95</v>
      </c>
      <c r="W136" s="2">
        <v>63.93</v>
      </c>
      <c r="X136" s="2">
        <v>103.05</v>
      </c>
      <c r="Y136" s="2">
        <v>63.41</v>
      </c>
      <c r="Z136" s="2">
        <v>107.93</v>
      </c>
      <c r="AA136" s="2">
        <v>60.53</v>
      </c>
      <c r="AB136" s="2">
        <v>60.03</v>
      </c>
      <c r="AC136" s="2">
        <v>60.9</v>
      </c>
      <c r="AD136" s="2">
        <v>59.86</v>
      </c>
      <c r="AE136" s="2">
        <v>38.770000000000003</v>
      </c>
      <c r="AF136" s="2">
        <v>52.51</v>
      </c>
    </row>
    <row r="137" spans="18:32" x14ac:dyDescent="0.3">
      <c r="R137" s="1" t="s">
        <v>20</v>
      </c>
      <c r="S137" s="2">
        <v>127.33</v>
      </c>
      <c r="T137" s="2">
        <v>142.75</v>
      </c>
      <c r="U137" s="2">
        <v>133.06</v>
      </c>
      <c r="V137" s="2">
        <v>173.95</v>
      </c>
      <c r="W137" s="2">
        <v>135.49</v>
      </c>
      <c r="X137" s="2">
        <v>205.6</v>
      </c>
      <c r="Y137" s="2">
        <v>131.02000000000001</v>
      </c>
      <c r="Z137" s="2">
        <v>147.16999999999999</v>
      </c>
      <c r="AA137" s="2">
        <v>119.62</v>
      </c>
      <c r="AB137" s="2">
        <v>125.2</v>
      </c>
      <c r="AC137" s="2">
        <v>119.84</v>
      </c>
      <c r="AD137" s="2">
        <v>125.82</v>
      </c>
      <c r="AE137" s="2">
        <v>97.38</v>
      </c>
      <c r="AF137" s="2">
        <v>105.22</v>
      </c>
    </row>
    <row r="138" spans="18:32" x14ac:dyDescent="0.3">
      <c r="R138" s="1" t="s">
        <v>21</v>
      </c>
      <c r="S138" s="2">
        <v>64.459999999999994</v>
      </c>
      <c r="T138" s="2">
        <v>65.94</v>
      </c>
      <c r="U138" s="2">
        <v>65.34</v>
      </c>
      <c r="V138" s="2">
        <v>75.599999999999994</v>
      </c>
      <c r="W138" s="2">
        <v>66.319999999999993</v>
      </c>
      <c r="X138" s="2">
        <v>92.97</v>
      </c>
      <c r="Y138" s="2">
        <v>64.62</v>
      </c>
      <c r="Z138" s="2">
        <v>72.23</v>
      </c>
      <c r="AA138" s="2">
        <v>60.06</v>
      </c>
      <c r="AB138" s="2">
        <v>61.49</v>
      </c>
      <c r="AC138" s="2">
        <v>60.32</v>
      </c>
      <c r="AD138" s="2">
        <v>61.82</v>
      </c>
      <c r="AE138" s="2">
        <v>58.38</v>
      </c>
      <c r="AF138" s="2">
        <v>59.17</v>
      </c>
    </row>
    <row r="139" spans="18:32" x14ac:dyDescent="0.3">
      <c r="R139" s="1" t="s">
        <v>22</v>
      </c>
      <c r="S139" s="2">
        <v>317.67</v>
      </c>
      <c r="T139" s="2">
        <v>317.29000000000002</v>
      </c>
      <c r="U139" s="2">
        <v>355.48</v>
      </c>
      <c r="V139" s="2">
        <v>332.59</v>
      </c>
      <c r="W139" s="2">
        <v>365.45</v>
      </c>
      <c r="X139" s="2">
        <v>339</v>
      </c>
      <c r="Y139" s="2">
        <v>347.01</v>
      </c>
      <c r="Z139" s="2">
        <v>327.85</v>
      </c>
      <c r="AA139" s="2">
        <v>300.48</v>
      </c>
      <c r="AB139" s="2">
        <v>300.06</v>
      </c>
      <c r="AC139" s="2">
        <v>299.94</v>
      </c>
      <c r="AD139" s="2">
        <v>300.10000000000002</v>
      </c>
      <c r="AE139" s="2">
        <v>298.24</v>
      </c>
      <c r="AF139" s="2">
        <v>306.82</v>
      </c>
    </row>
    <row r="140" spans="18:32" x14ac:dyDescent="0.3">
      <c r="R140" s="1" t="s">
        <v>23</v>
      </c>
      <c r="S140" s="2">
        <v>68.930000000000007</v>
      </c>
      <c r="T140" s="2">
        <v>66.39</v>
      </c>
      <c r="U140" s="2">
        <v>69.06</v>
      </c>
      <c r="V140" s="2">
        <v>67.849999999999994</v>
      </c>
      <c r="W140" s="2">
        <v>70.5</v>
      </c>
      <c r="X140" s="2">
        <v>69.069999999999993</v>
      </c>
      <c r="Y140" s="2">
        <v>67.900000000000006</v>
      </c>
      <c r="Z140" s="2">
        <v>66.91</v>
      </c>
      <c r="AA140" s="2">
        <v>66.89</v>
      </c>
      <c r="AB140" s="2">
        <v>63.32</v>
      </c>
      <c r="AC140" s="2">
        <v>66.06</v>
      </c>
      <c r="AD140" s="2">
        <v>63.04</v>
      </c>
      <c r="AE140" s="2">
        <v>55.25</v>
      </c>
      <c r="AF140" s="2">
        <v>63.41</v>
      </c>
    </row>
    <row r="141" spans="18:32" x14ac:dyDescent="0.3">
      <c r="R141" s="1" t="s">
        <v>24</v>
      </c>
      <c r="S141" s="2">
        <v>199.72</v>
      </c>
      <c r="T141" s="2">
        <v>196.33</v>
      </c>
      <c r="U141" s="2">
        <v>208.08</v>
      </c>
      <c r="V141" s="2">
        <v>205.35</v>
      </c>
      <c r="W141" s="2">
        <v>212.71</v>
      </c>
      <c r="X141" s="2">
        <v>209.24</v>
      </c>
      <c r="Y141" s="2">
        <v>204.5</v>
      </c>
      <c r="Z141" s="2">
        <v>202.08</v>
      </c>
      <c r="AA141" s="2">
        <v>200.26</v>
      </c>
      <c r="AB141" s="2">
        <v>190.67</v>
      </c>
      <c r="AC141" s="2">
        <v>197.55</v>
      </c>
      <c r="AD141" s="2">
        <v>189.71</v>
      </c>
      <c r="AE141" s="2">
        <v>166.35</v>
      </c>
      <c r="AF141" s="2">
        <v>193.79</v>
      </c>
    </row>
    <row r="142" spans="18:32" x14ac:dyDescent="0.3">
      <c r="R142" s="1" t="s">
        <v>25</v>
      </c>
      <c r="S142" s="2">
        <v>195.83</v>
      </c>
      <c r="T142" s="2">
        <v>183.91</v>
      </c>
      <c r="U142" s="2">
        <v>209.32</v>
      </c>
      <c r="V142" s="2">
        <v>195.52</v>
      </c>
      <c r="W142" s="2">
        <v>214.08</v>
      </c>
      <c r="X142" s="2">
        <v>196.32</v>
      </c>
      <c r="Y142" s="2">
        <v>205.42</v>
      </c>
      <c r="Z142" s="2">
        <v>195</v>
      </c>
      <c r="AA142" s="2">
        <v>190.81</v>
      </c>
      <c r="AB142" s="2">
        <v>193.23</v>
      </c>
      <c r="AC142" s="2">
        <v>191.62</v>
      </c>
      <c r="AD142" s="2">
        <v>194.06</v>
      </c>
      <c r="AE142" s="2">
        <v>195.94</v>
      </c>
      <c r="AF142" s="2">
        <v>156.46</v>
      </c>
    </row>
  </sheetData>
  <mergeCells count="4">
    <mergeCell ref="S90:Y90"/>
    <mergeCell ref="S118:Y118"/>
    <mergeCell ref="Z90:AF90"/>
    <mergeCell ref="Z118:AF118"/>
  </mergeCells>
  <conditionalFormatting sqref="C9:P1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3:P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7:P4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1:P5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79:AW8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62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2:10" x14ac:dyDescent="0.3">
      <c r="B35" t="s">
        <v>42</v>
      </c>
      <c r="D35" t="s">
        <v>43</v>
      </c>
      <c r="G35" t="s">
        <v>44</v>
      </c>
      <c r="J35" t="s">
        <v>45</v>
      </c>
    </row>
    <row r="36" spans="2:10" x14ac:dyDescent="0.3">
      <c r="B36" s="1" t="s">
        <v>13</v>
      </c>
      <c r="D36" s="1" t="s">
        <v>13</v>
      </c>
      <c r="G36" s="1" t="s">
        <v>13</v>
      </c>
      <c r="J36" s="1" t="s">
        <v>13</v>
      </c>
    </row>
    <row r="37" spans="2:10" x14ac:dyDescent="0.3">
      <c r="B37" s="1" t="s">
        <v>17</v>
      </c>
      <c r="D37" s="1" t="s">
        <v>17</v>
      </c>
      <c r="G37" s="1" t="s">
        <v>17</v>
      </c>
      <c r="J37" s="1" t="s">
        <v>17</v>
      </c>
    </row>
    <row r="38" spans="2:10" x14ac:dyDescent="0.3">
      <c r="B38" s="1" t="s">
        <v>17</v>
      </c>
      <c r="D38" s="1" t="s">
        <v>17</v>
      </c>
      <c r="G38" s="1" t="s">
        <v>17</v>
      </c>
      <c r="J38" s="1" t="s">
        <v>17</v>
      </c>
    </row>
    <row r="41" spans="2:10" x14ac:dyDescent="0.3">
      <c r="D41" t="s">
        <v>46</v>
      </c>
      <c r="G41" t="s">
        <v>47</v>
      </c>
      <c r="J41" t="s">
        <v>48</v>
      </c>
    </row>
    <row r="42" spans="2:10" x14ac:dyDescent="0.3">
      <c r="D42" s="1" t="s">
        <v>13</v>
      </c>
      <c r="G42" s="1" t="s">
        <v>13</v>
      </c>
      <c r="J42" s="1" t="s">
        <v>13</v>
      </c>
    </row>
    <row r="43" spans="2:10" x14ac:dyDescent="0.3">
      <c r="D43" s="1" t="s">
        <v>17</v>
      </c>
      <c r="G43" s="1" t="s">
        <v>17</v>
      </c>
      <c r="J43" s="1" t="s">
        <v>17</v>
      </c>
    </row>
    <row r="44" spans="2:10" x14ac:dyDescent="0.3">
      <c r="D44" s="1" t="s">
        <v>17</v>
      </c>
      <c r="G44" s="1" t="s">
        <v>17</v>
      </c>
      <c r="J44" s="1" t="s">
        <v>17</v>
      </c>
    </row>
    <row r="47" spans="2:10" x14ac:dyDescent="0.3">
      <c r="D47" t="s">
        <v>49</v>
      </c>
      <c r="J47" t="s">
        <v>50</v>
      </c>
    </row>
    <row r="48" spans="2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  <row r="53" spans="4:10" x14ac:dyDescent="0.3">
      <c r="D53" t="s">
        <v>51</v>
      </c>
      <c r="J53" t="s">
        <v>52</v>
      </c>
    </row>
    <row r="54" spans="4:10" x14ac:dyDescent="0.3">
      <c r="D54" s="1" t="s">
        <v>13</v>
      </c>
      <c r="J54" s="1" t="s">
        <v>13</v>
      </c>
    </row>
    <row r="55" spans="4:10" x14ac:dyDescent="0.3">
      <c r="D55" s="1" t="s">
        <v>17</v>
      </c>
      <c r="J55" s="1" t="s">
        <v>17</v>
      </c>
    </row>
    <row r="56" spans="4:10" x14ac:dyDescent="0.3">
      <c r="D56" s="1" t="s">
        <v>17</v>
      </c>
      <c r="J56" s="1" t="s">
        <v>17</v>
      </c>
    </row>
    <row r="59" spans="4:10" x14ac:dyDescent="0.3">
      <c r="D59" t="s">
        <v>53</v>
      </c>
    </row>
    <row r="60" spans="4:10" x14ac:dyDescent="0.3">
      <c r="D60" s="1" t="s">
        <v>13</v>
      </c>
    </row>
    <row r="61" spans="4:10" x14ac:dyDescent="0.3">
      <c r="D61" s="1" t="s">
        <v>17</v>
      </c>
    </row>
    <row r="62" spans="4:10" x14ac:dyDescent="0.3">
      <c r="D62" s="1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62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2:10" x14ac:dyDescent="0.3">
      <c r="B35" t="s">
        <v>42</v>
      </c>
      <c r="D35" t="s">
        <v>43</v>
      </c>
      <c r="G35" t="s">
        <v>44</v>
      </c>
      <c r="J35" t="s">
        <v>45</v>
      </c>
    </row>
    <row r="36" spans="2:10" x14ac:dyDescent="0.3">
      <c r="B36" s="1" t="s">
        <v>13</v>
      </c>
      <c r="D36" s="1" t="s">
        <v>13</v>
      </c>
      <c r="G36" s="1" t="s">
        <v>13</v>
      </c>
      <c r="J36" s="1" t="s">
        <v>13</v>
      </c>
    </row>
    <row r="37" spans="2:10" x14ac:dyDescent="0.3">
      <c r="B37" s="1" t="s">
        <v>17</v>
      </c>
      <c r="D37" s="1" t="s">
        <v>17</v>
      </c>
      <c r="G37" s="1" t="s">
        <v>17</v>
      </c>
      <c r="J37" s="1" t="s">
        <v>17</v>
      </c>
    </row>
    <row r="38" spans="2:10" x14ac:dyDescent="0.3">
      <c r="B38" s="1" t="s">
        <v>17</v>
      </c>
      <c r="D38" s="1" t="s">
        <v>17</v>
      </c>
      <c r="G38" s="1" t="s">
        <v>17</v>
      </c>
      <c r="J38" s="1" t="s">
        <v>17</v>
      </c>
    </row>
    <row r="41" spans="2:10" x14ac:dyDescent="0.3">
      <c r="D41" t="s">
        <v>46</v>
      </c>
      <c r="G41" t="s">
        <v>47</v>
      </c>
      <c r="J41" t="s">
        <v>48</v>
      </c>
    </row>
    <row r="42" spans="2:10" x14ac:dyDescent="0.3">
      <c r="D42" s="1" t="s">
        <v>13</v>
      </c>
      <c r="G42" s="1" t="s">
        <v>13</v>
      </c>
      <c r="J42" s="1" t="s">
        <v>13</v>
      </c>
    </row>
    <row r="43" spans="2:10" x14ac:dyDescent="0.3">
      <c r="D43" s="1" t="s">
        <v>17</v>
      </c>
      <c r="G43" s="1" t="s">
        <v>17</v>
      </c>
      <c r="J43" s="1" t="s">
        <v>17</v>
      </c>
    </row>
    <row r="44" spans="2:10" x14ac:dyDescent="0.3">
      <c r="D44" s="1" t="s">
        <v>17</v>
      </c>
      <c r="G44" s="1" t="s">
        <v>17</v>
      </c>
      <c r="J44" s="1" t="s">
        <v>17</v>
      </c>
    </row>
    <row r="47" spans="2:10" x14ac:dyDescent="0.3">
      <c r="D47" t="s">
        <v>49</v>
      </c>
      <c r="J47" t="s">
        <v>50</v>
      </c>
    </row>
    <row r="48" spans="2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  <row r="53" spans="4:10" x14ac:dyDescent="0.3">
      <c r="D53" t="s">
        <v>51</v>
      </c>
      <c r="J53" t="s">
        <v>52</v>
      </c>
    </row>
    <row r="54" spans="4:10" x14ac:dyDescent="0.3">
      <c r="D54" s="1" t="s">
        <v>13</v>
      </c>
      <c r="J54" s="1" t="s">
        <v>13</v>
      </c>
    </row>
    <row r="55" spans="4:10" x14ac:dyDescent="0.3">
      <c r="D55" s="1" t="s">
        <v>17</v>
      </c>
      <c r="J55" s="1" t="s">
        <v>17</v>
      </c>
    </row>
    <row r="56" spans="4:10" x14ac:dyDescent="0.3">
      <c r="D56" s="1" t="s">
        <v>17</v>
      </c>
      <c r="J56" s="1" t="s">
        <v>17</v>
      </c>
    </row>
    <row r="59" spans="4:10" x14ac:dyDescent="0.3">
      <c r="D59" t="s">
        <v>53</v>
      </c>
    </row>
    <row r="60" spans="4:10" x14ac:dyDescent="0.3">
      <c r="D60" s="1" t="s">
        <v>13</v>
      </c>
    </row>
    <row r="61" spans="4:10" x14ac:dyDescent="0.3">
      <c r="D61" s="1" t="s">
        <v>17</v>
      </c>
    </row>
    <row r="62" spans="4:10" x14ac:dyDescent="0.3">
      <c r="D62" s="1" t="s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62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2:10" x14ac:dyDescent="0.3">
      <c r="B35" t="s">
        <v>42</v>
      </c>
      <c r="D35" t="s">
        <v>43</v>
      </c>
      <c r="G35" t="s">
        <v>44</v>
      </c>
      <c r="J35" t="s">
        <v>45</v>
      </c>
    </row>
    <row r="36" spans="2:10" x14ac:dyDescent="0.3">
      <c r="B36" s="1" t="s">
        <v>13</v>
      </c>
      <c r="D36" s="1" t="s">
        <v>13</v>
      </c>
      <c r="G36" s="1" t="s">
        <v>13</v>
      </c>
      <c r="J36" s="1" t="s">
        <v>13</v>
      </c>
    </row>
    <row r="37" spans="2:10" x14ac:dyDescent="0.3">
      <c r="B37" s="1" t="s">
        <v>17</v>
      </c>
      <c r="D37" s="1" t="s">
        <v>17</v>
      </c>
      <c r="G37" s="1" t="s">
        <v>17</v>
      </c>
      <c r="J37" s="1" t="s">
        <v>17</v>
      </c>
    </row>
    <row r="38" spans="2:10" x14ac:dyDescent="0.3">
      <c r="B38" s="1" t="s">
        <v>17</v>
      </c>
      <c r="D38" s="1" t="s">
        <v>17</v>
      </c>
      <c r="G38" s="1" t="s">
        <v>17</v>
      </c>
      <c r="J38" s="1" t="s">
        <v>17</v>
      </c>
    </row>
    <row r="41" spans="2:10" x14ac:dyDescent="0.3">
      <c r="D41" t="s">
        <v>46</v>
      </c>
      <c r="G41" t="s">
        <v>47</v>
      </c>
      <c r="J41" t="s">
        <v>48</v>
      </c>
    </row>
    <row r="42" spans="2:10" x14ac:dyDescent="0.3">
      <c r="D42" s="1" t="s">
        <v>13</v>
      </c>
      <c r="G42" s="1" t="s">
        <v>13</v>
      </c>
      <c r="J42" s="1" t="s">
        <v>13</v>
      </c>
    </row>
    <row r="43" spans="2:10" x14ac:dyDescent="0.3">
      <c r="D43" s="1" t="s">
        <v>17</v>
      </c>
      <c r="G43" s="1" t="s">
        <v>17</v>
      </c>
      <c r="J43" s="1" t="s">
        <v>17</v>
      </c>
    </row>
    <row r="44" spans="2:10" x14ac:dyDescent="0.3">
      <c r="D44" s="1" t="s">
        <v>17</v>
      </c>
      <c r="G44" s="1" t="s">
        <v>17</v>
      </c>
      <c r="J44" s="1" t="s">
        <v>17</v>
      </c>
    </row>
    <row r="47" spans="2:10" x14ac:dyDescent="0.3">
      <c r="D47" t="s">
        <v>49</v>
      </c>
      <c r="J47" t="s">
        <v>50</v>
      </c>
    </row>
    <row r="48" spans="2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  <row r="53" spans="4:10" x14ac:dyDescent="0.3">
      <c r="D53" t="s">
        <v>51</v>
      </c>
      <c r="J53" t="s">
        <v>52</v>
      </c>
    </row>
    <row r="54" spans="4:10" x14ac:dyDescent="0.3">
      <c r="D54" s="1" t="s">
        <v>13</v>
      </c>
      <c r="J54" s="1" t="s">
        <v>13</v>
      </c>
    </row>
    <row r="55" spans="4:10" x14ac:dyDescent="0.3">
      <c r="D55" s="1" t="s">
        <v>17</v>
      </c>
      <c r="J55" s="1" t="s">
        <v>17</v>
      </c>
    </row>
    <row r="56" spans="4:10" x14ac:dyDescent="0.3">
      <c r="D56" s="1" t="s">
        <v>17</v>
      </c>
      <c r="J56" s="1" t="s">
        <v>17</v>
      </c>
    </row>
    <row r="59" spans="4:10" x14ac:dyDescent="0.3">
      <c r="D59" t="s">
        <v>53</v>
      </c>
    </row>
    <row r="60" spans="4:10" x14ac:dyDescent="0.3">
      <c r="D60" s="1" t="s">
        <v>13</v>
      </c>
    </row>
    <row r="61" spans="4:10" x14ac:dyDescent="0.3">
      <c r="D61" s="1" t="s">
        <v>17</v>
      </c>
    </row>
    <row r="62" spans="4:10" x14ac:dyDescent="0.3">
      <c r="D62" s="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2025-11-18T14:31:41Z</dcterms:created>
  <dcterms:modified xsi:type="dcterms:W3CDTF">2025-11-18T14:49:23Z</dcterms:modified>
</cp:coreProperties>
</file>